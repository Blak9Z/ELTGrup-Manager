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gestiune\"/>
    </mc:Choice>
  </mc:AlternateContent>
  <xr:revisionPtr revIDLastSave="0" documentId="13_ncr:1_{65E3AA74-F31D-4978-A960-7CC22A0CB1F9}" xr6:coauthVersionLast="47" xr6:coauthVersionMax="47" xr10:uidLastSave="{00000000-0000-0000-0000-000000000000}"/>
  <bookViews>
    <workbookView xWindow="-120" yWindow="-120" windowWidth="29040" windowHeight="15720" firstSheet="1" activeTab="2" xr2:uid="{00000000-000D-0000-FFFF-FFFF00000000}"/>
  </bookViews>
  <sheets>
    <sheet name="Tabel Pivot" sheetId="5" state="hidden" r:id="rId1"/>
    <sheet name="Instructiuni de utilizare" sheetId="7" r:id="rId2"/>
    <sheet name="Scule" sheetId="2" r:id="rId3"/>
    <sheet name="Auto" sheetId="9" r:id="rId4"/>
  </sheets>
  <calcPr calcId="19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13" i="2" l="1"/>
  <c r="J514"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I16" i="9"/>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181" i="2"/>
  <c r="J493" i="2"/>
  <c r="J494" i="2"/>
  <c r="J495" i="2"/>
  <c r="J496" i="2"/>
  <c r="J497" i="2"/>
  <c r="J498" i="2"/>
  <c r="J499" i="2"/>
  <c r="J500" i="2"/>
  <c r="J501" i="2"/>
  <c r="J502" i="2"/>
  <c r="J503" i="2"/>
  <c r="J504" i="2"/>
  <c r="J505" i="2"/>
  <c r="J506" i="2"/>
  <c r="J507" i="2"/>
  <c r="J508" i="2"/>
  <c r="J509" i="2"/>
  <c r="J510" i="2"/>
  <c r="J511" i="2"/>
  <c r="J512" i="2"/>
  <c r="J431" i="2"/>
  <c r="J428" i="2"/>
  <c r="J429" i="2"/>
  <c r="J430" i="2"/>
  <c r="J455" i="2"/>
  <c r="J452" i="2"/>
  <c r="J451" i="2"/>
  <c r="J450" i="2"/>
  <c r="J453" i="2"/>
  <c r="J454" i="2"/>
  <c r="J476" i="2"/>
  <c r="J477" i="2"/>
  <c r="J478" i="2"/>
  <c r="J479" i="2"/>
  <c r="J480" i="2"/>
  <c r="J481" i="2"/>
  <c r="J482" i="2"/>
  <c r="J483" i="2"/>
  <c r="J484" i="2"/>
  <c r="J485" i="2"/>
  <c r="J486" i="2"/>
  <c r="J487" i="2"/>
  <c r="J488" i="2"/>
  <c r="J489" i="2"/>
  <c r="J490" i="2"/>
  <c r="J491" i="2"/>
  <c r="J492" i="2"/>
  <c r="J515" i="2"/>
  <c r="J433" i="2"/>
  <c r="J37" i="2"/>
  <c r="J32" i="2"/>
  <c r="J33" i="2"/>
  <c r="J34" i="2"/>
  <c r="J35" i="2"/>
  <c r="J36" i="2"/>
  <c r="J38" i="2"/>
  <c r="J39" i="2"/>
  <c r="J40" i="2"/>
  <c r="J41" i="2"/>
  <c r="J22" i="2"/>
  <c r="J23" i="2"/>
  <c r="J24" i="2"/>
  <c r="J25" i="2"/>
  <c r="J26" i="2"/>
  <c r="J27" i="2"/>
  <c r="J28" i="2"/>
  <c r="J29" i="2"/>
  <c r="J404" i="2"/>
  <c r="J405" i="2"/>
  <c r="J406" i="2"/>
  <c r="J407" i="2"/>
  <c r="J408" i="2"/>
  <c r="J409" i="2"/>
  <c r="J410" i="2"/>
  <c r="J411" i="2"/>
  <c r="J412" i="2"/>
  <c r="J414" i="2"/>
  <c r="J415" i="2"/>
  <c r="J416" i="2"/>
  <c r="J417" i="2"/>
  <c r="J418" i="2"/>
  <c r="J419" i="2"/>
  <c r="J420" i="2"/>
  <c r="J421" i="2"/>
  <c r="J422" i="2"/>
  <c r="J423" i="2"/>
  <c r="J424" i="2"/>
  <c r="J425" i="2"/>
  <c r="J426" i="2"/>
  <c r="J427" i="2"/>
  <c r="J432" i="2"/>
  <c r="J434" i="2"/>
  <c r="J435" i="2"/>
  <c r="J436" i="2"/>
  <c r="J437" i="2"/>
  <c r="J438" i="2"/>
  <c r="J439" i="2"/>
  <c r="J440" i="2"/>
  <c r="J441" i="2"/>
  <c r="J442" i="2"/>
  <c r="J443" i="2"/>
  <c r="J444" i="2"/>
  <c r="J445" i="2"/>
  <c r="J446" i="2"/>
  <c r="J447" i="2"/>
  <c r="J448" i="2"/>
  <c r="J449" i="2"/>
  <c r="J456" i="2"/>
  <c r="J457" i="2"/>
  <c r="J397" i="2"/>
  <c r="J398" i="2"/>
  <c r="J399" i="2"/>
  <c r="J400" i="2"/>
  <c r="J401" i="2"/>
  <c r="J402" i="2"/>
  <c r="J403" i="2"/>
  <c r="J340" i="2"/>
  <c r="J341" i="2"/>
  <c r="J342" i="2"/>
  <c r="J343" i="2"/>
  <c r="J344" i="2"/>
  <c r="J345" i="2"/>
  <c r="J346" i="2"/>
  <c r="J347" i="2"/>
  <c r="J348" i="2"/>
  <c r="J349" i="2"/>
  <c r="J350" i="2"/>
  <c r="J351" i="2"/>
  <c r="J352" i="2"/>
  <c r="J353" i="2"/>
  <c r="J354" i="2"/>
  <c r="J355" i="2"/>
  <c r="J356" i="2"/>
  <c r="J357" i="2"/>
  <c r="J317" i="2"/>
  <c r="J318" i="2"/>
  <c r="J319" i="2"/>
  <c r="J320" i="2"/>
  <c r="J321" i="2"/>
  <c r="J322" i="2"/>
  <c r="J323" i="2"/>
  <c r="J324" i="2"/>
  <c r="J325" i="2"/>
  <c r="J326" i="2"/>
  <c r="J327" i="2"/>
  <c r="J329" i="2"/>
  <c r="J330" i="2"/>
  <c r="J331" i="2"/>
  <c r="J332" i="2"/>
  <c r="J333" i="2"/>
  <c r="J334" i="2"/>
  <c r="J335" i="2"/>
  <c r="J336" i="2"/>
  <c r="J337" i="2"/>
  <c r="J338" i="2"/>
  <c r="J377" i="2"/>
  <c r="J378" i="2"/>
  <c r="J379" i="2"/>
  <c r="J380" i="2"/>
  <c r="J381" i="2"/>
  <c r="J382" i="2"/>
  <c r="J383" i="2"/>
  <c r="J384" i="2"/>
  <c r="J385" i="2"/>
  <c r="J386" i="2"/>
  <c r="J387" i="2"/>
  <c r="J388" i="2"/>
  <c r="J389" i="2"/>
  <c r="J390" i="2"/>
  <c r="J391" i="2"/>
  <c r="J392" i="2"/>
  <c r="J393" i="2"/>
  <c r="J394" i="2"/>
  <c r="J395" i="2"/>
  <c r="J360" i="2"/>
  <c r="J361" i="2"/>
  <c r="J362" i="2"/>
  <c r="J363" i="2"/>
  <c r="J364" i="2"/>
  <c r="J365" i="2"/>
  <c r="J366" i="2"/>
  <c r="J367" i="2"/>
  <c r="J368" i="2"/>
  <c r="J369" i="2"/>
  <c r="J370" i="2"/>
  <c r="J371" i="2"/>
  <c r="J372" i="2"/>
  <c r="J373" i="2"/>
  <c r="J374" i="2"/>
  <c r="J375" i="2"/>
  <c r="J180" i="2"/>
  <c r="J179"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28" i="2"/>
  <c r="J339" i="2"/>
  <c r="J358" i="2"/>
  <c r="J359" i="2"/>
  <c r="J376" i="2"/>
  <c r="J396" i="2"/>
  <c r="J413" i="2"/>
  <c r="J458" i="2"/>
  <c r="J459" i="2"/>
  <c r="J460" i="2"/>
  <c r="J461" i="2"/>
  <c r="J462" i="2"/>
  <c r="J463" i="2"/>
  <c r="J464" i="2"/>
  <c r="J465" i="2"/>
  <c r="J466" i="2"/>
  <c r="J467" i="2"/>
  <c r="J468" i="2"/>
  <c r="J469" i="2"/>
  <c r="J470" i="2"/>
  <c r="J471" i="2"/>
  <c r="J472" i="2"/>
  <c r="J473" i="2"/>
  <c r="J213" i="2"/>
  <c r="J188" i="2"/>
  <c r="J184"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82" i="2"/>
  <c r="J183" i="2"/>
  <c r="J185" i="2"/>
  <c r="J186" i="2"/>
  <c r="J187" i="2"/>
  <c r="J189" i="2"/>
  <c r="J190" i="2"/>
  <c r="J191" i="2"/>
  <c r="J192" i="2"/>
  <c r="J193" i="2"/>
  <c r="J194" i="2"/>
  <c r="J195" i="2"/>
  <c r="J196" i="2"/>
  <c r="J197" i="2"/>
  <c r="J198" i="2"/>
  <c r="J199" i="2"/>
  <c r="J200" i="2"/>
  <c r="J201" i="2"/>
  <c r="J202" i="2"/>
  <c r="J203" i="2"/>
  <c r="J204" i="2"/>
  <c r="J205" i="2"/>
  <c r="J206" i="2"/>
  <c r="J207" i="2"/>
  <c r="J208" i="2"/>
  <c r="J209" i="2"/>
  <c r="J210" i="2"/>
  <c r="J211" i="2"/>
  <c r="J212"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474" i="2"/>
  <c r="J475" i="2"/>
  <c r="J145" i="2"/>
  <c r="J146" i="2"/>
  <c r="J100" i="2"/>
  <c r="J90" i="2"/>
  <c r="J91" i="2"/>
  <c r="J92" i="2"/>
  <c r="J93" i="2"/>
  <c r="J94" i="2"/>
  <c r="J95" i="2"/>
  <c r="J96" i="2"/>
  <c r="J97" i="2"/>
  <c r="J98" i="2"/>
  <c r="J99"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30" i="2"/>
  <c r="J14" i="2"/>
  <c r="J16" i="2"/>
  <c r="J17" i="2"/>
  <c r="J18" i="2"/>
  <c r="J19" i="2"/>
  <c r="J20" i="2"/>
  <c r="J21" i="2"/>
  <c r="J31" i="2"/>
  <c r="J42" i="2"/>
  <c r="J43" i="2"/>
  <c r="J44" i="2"/>
  <c r="J45" i="2"/>
  <c r="J46" i="2"/>
  <c r="J47" i="2"/>
  <c r="J48" i="2"/>
  <c r="J49" i="2"/>
  <c r="J50" i="2"/>
  <c r="J51" i="2"/>
  <c r="J52" i="2"/>
  <c r="J53" i="2"/>
  <c r="J54" i="2"/>
  <c r="J55" i="2"/>
  <c r="J56" i="2"/>
  <c r="J57" i="2"/>
  <c r="J58" i="2"/>
  <c r="J59" i="2"/>
  <c r="J60" i="2"/>
  <c r="J61" i="2"/>
  <c r="J62" i="2"/>
  <c r="J63" i="2"/>
  <c r="J64" i="2"/>
  <c r="J65" i="2"/>
  <c r="J67" i="2"/>
  <c r="J68" i="2"/>
  <c r="J69" i="2"/>
  <c r="J70" i="2"/>
  <c r="J71" i="2"/>
  <c r="J72" i="2"/>
  <c r="J73" i="2"/>
  <c r="J74" i="2"/>
  <c r="J75" i="2"/>
  <c r="J76" i="2"/>
  <c r="J77" i="2"/>
  <c r="J78" i="2"/>
  <c r="J79" i="2"/>
  <c r="J80" i="2"/>
  <c r="J81" i="2"/>
  <c r="J82" i="2"/>
  <c r="J83" i="2"/>
  <c r="J84" i="2"/>
  <c r="J85" i="2"/>
  <c r="J86" i="2"/>
  <c r="J87" i="2"/>
  <c r="J144" i="2"/>
  <c r="J9" i="2" l="1"/>
  <c r="J10" i="2"/>
  <c r="J11" i="2"/>
  <c r="J12" i="2"/>
  <c r="J13" i="2"/>
  <c r="J15" i="2"/>
  <c r="J88" i="2"/>
  <c r="J89" i="2"/>
  <c r="J143" i="2"/>
  <c r="J606" i="2"/>
  <c r="J6" i="2"/>
  <c r="J3" i="2"/>
  <c r="J4" i="2"/>
  <c r="J5" i="2"/>
  <c r="J7" i="2"/>
  <c r="J8" i="2"/>
  <c r="J607" i="2" l="1"/>
  <c r="D3" i="5"/>
  <c r="F3" i="5" l="1"/>
  <c r="E3" i="5"/>
</calcChain>
</file>

<file path=xl/sharedStrings.xml><?xml version="1.0" encoding="utf-8"?>
<sst xmlns="http://schemas.openxmlformats.org/spreadsheetml/2006/main" count="2636" uniqueCount="1293">
  <si>
    <t>A00001</t>
  </si>
  <si>
    <t>A00002</t>
  </si>
  <si>
    <t>A00003</t>
  </si>
  <si>
    <t>A00004</t>
  </si>
  <si>
    <t>A00005</t>
  </si>
  <si>
    <t>A00006</t>
  </si>
  <si>
    <t>A00007</t>
  </si>
  <si>
    <t>A00008</t>
  </si>
  <si>
    <t>A00009</t>
  </si>
  <si>
    <t>A00010</t>
  </si>
  <si>
    <t>A00011</t>
  </si>
  <si>
    <t>A00012</t>
  </si>
  <si>
    <t>A00013</t>
  </si>
  <si>
    <t>A00014</t>
  </si>
  <si>
    <t>A00015</t>
  </si>
  <si>
    <t>A00016</t>
  </si>
  <si>
    <t>A00017</t>
  </si>
  <si>
    <t>A00018</t>
  </si>
  <si>
    <t>A00019</t>
  </si>
  <si>
    <t>A00020</t>
  </si>
  <si>
    <t>Cost unitar</t>
  </si>
  <si>
    <t>Valoare minusuri</t>
  </si>
  <si>
    <t>Valoare plusuri</t>
  </si>
  <si>
    <t>Numar bucati Actual vs. inventar</t>
  </si>
  <si>
    <t>Produs</t>
  </si>
  <si>
    <t>Stoc de siguranta</t>
  </si>
  <si>
    <t>REZULTATE INVENTAR</t>
  </si>
  <si>
    <t>Sum of Stoc actual</t>
  </si>
  <si>
    <t>Row Labels</t>
  </si>
  <si>
    <t>Grand Total</t>
  </si>
  <si>
    <t>Cost Total</t>
  </si>
  <si>
    <t>Sum of Cost Total</t>
  </si>
  <si>
    <t>Urmăriți clipul aferent din site pentru a vedea în detaliu cum se utilizează acest fișier și cum se adaugă informații în el</t>
  </si>
  <si>
    <t>Mijloace fixe - Mijloace de transport    Anexa 3</t>
  </si>
  <si>
    <t>Comisia de inventariere:</t>
  </si>
  <si>
    <t>Președinte</t>
  </si>
  <si>
    <t>Longier Claudiu</t>
  </si>
  <si>
    <t>Membrii</t>
  </si>
  <si>
    <t>Dumitrescu Laurențiu George</t>
  </si>
  <si>
    <t>Vlad Sara</t>
  </si>
  <si>
    <t>Gestionar</t>
  </si>
  <si>
    <t>Chirilă Vlad</t>
  </si>
  <si>
    <t>Observatii</t>
  </si>
  <si>
    <t>Autoturism Nissan Pathfinder</t>
  </si>
  <si>
    <t>Locatie</t>
  </si>
  <si>
    <t>Stare functionare</t>
  </si>
  <si>
    <t>Trepied PT Constructii - BT 300 HD</t>
  </si>
  <si>
    <t>ELT027</t>
  </si>
  <si>
    <t>ELT028</t>
  </si>
  <si>
    <t>Birou - spate</t>
  </si>
  <si>
    <t>Masina de gaurit carote Vevor -SN 250201 7318F 0119</t>
  </si>
  <si>
    <t>Fierastrau sabie Parkside SN 082094</t>
  </si>
  <si>
    <t>ELT029</t>
  </si>
  <si>
    <t>ELT030</t>
  </si>
  <si>
    <t>Flex cu acumulator Parkside SN 209192</t>
  </si>
  <si>
    <t>Masina de insurubat cu impact Parkside SN 9916751 + incarcator+2 acumulatori</t>
  </si>
  <si>
    <t>Pompa de vid  Rothenberger RO AIRVAC R32 3.0 SN 1502230430267</t>
  </si>
  <si>
    <t>ELT031</t>
  </si>
  <si>
    <t>ELT032</t>
  </si>
  <si>
    <t>ELT033</t>
  </si>
  <si>
    <t>Incarcator 4 porturi BS1418-04 SN 0449614</t>
  </si>
  <si>
    <t>Masina de gaurit magnetica Vevor</t>
  </si>
  <si>
    <t>ELT034</t>
  </si>
  <si>
    <t>ELT035</t>
  </si>
  <si>
    <t>Aparat de tensionat benzi</t>
  </si>
  <si>
    <t>Prelungitor tambur Gelux 4 porturi- 50 m</t>
  </si>
  <si>
    <t>Flex pe fir Bosch GWS 7-125 SN 523935667</t>
  </si>
  <si>
    <t>nou</t>
  </si>
  <si>
    <t>ELT036</t>
  </si>
  <si>
    <t>ELT037</t>
  </si>
  <si>
    <t>Invertor DC -AC CJ-200 M</t>
  </si>
  <si>
    <t>Birouri rack</t>
  </si>
  <si>
    <t>ELT075</t>
  </si>
  <si>
    <t>ELT074</t>
  </si>
  <si>
    <t>Cleste pentru burlane</t>
  </si>
  <si>
    <t>ELT078</t>
  </si>
  <si>
    <t>ELT079</t>
  </si>
  <si>
    <t>Scara dubla 11 trepte</t>
  </si>
  <si>
    <t>Depozit  sanitare</t>
  </si>
  <si>
    <t>Scara multifunctionala din aluminiu cu balama 6 trepte 2,3 m</t>
  </si>
  <si>
    <t xml:space="preserve">Masca Sudura </t>
  </si>
  <si>
    <t>Spital</t>
  </si>
  <si>
    <t>Set carote lemn 100-60 mm 4 carote</t>
  </si>
  <si>
    <t>Birou-depozitare raft</t>
  </si>
  <si>
    <t>ELT121</t>
  </si>
  <si>
    <t>ELT 122</t>
  </si>
  <si>
    <t>ELT120</t>
  </si>
  <si>
    <t>ELT123</t>
  </si>
  <si>
    <t xml:space="preserve">Trusa de mana </t>
  </si>
  <si>
    <t>ELT126</t>
  </si>
  <si>
    <t>Set surubelnite dexter</t>
  </si>
  <si>
    <t>ELT 124</t>
  </si>
  <si>
    <t>ELT0129</t>
  </si>
  <si>
    <t>Aparat de masura si control pentru determinarea aderentei grundului SN F119618</t>
  </si>
  <si>
    <t>Birou depozitare raft</t>
  </si>
  <si>
    <t>Aparat de masura si control pentru determinarea aderentei grundului SN F119663</t>
  </si>
  <si>
    <t xml:space="preserve">Aparat de masura a temperaturii si umiditatii </t>
  </si>
  <si>
    <t>ELT130</t>
  </si>
  <si>
    <t>ELT131</t>
  </si>
  <si>
    <t>ELT132</t>
  </si>
  <si>
    <t>Aparat masurare a stratului de acooperire vopsea</t>
  </si>
  <si>
    <t>Aparat de masura a temperaturii si umiditatii  CEM DT 615</t>
  </si>
  <si>
    <t>ELT133</t>
  </si>
  <si>
    <t>ELT134</t>
  </si>
  <si>
    <t>ELT135</t>
  </si>
  <si>
    <t>ELT136</t>
  </si>
  <si>
    <t xml:space="preserve">Aparat de masura a temperaturii si umiditatii  CEM DT 321-S </t>
  </si>
  <si>
    <t>Aparat de masura  a temperaturii si umiditatii CEM DT 321-S SN 200306781</t>
  </si>
  <si>
    <t>ELT137</t>
  </si>
  <si>
    <t>Aparat de testare a retelei Network cable tester NF8209S</t>
  </si>
  <si>
    <t>Carota de 110</t>
  </si>
  <si>
    <t>Birou spate claudiu</t>
  </si>
  <si>
    <t>Trusa de surubelnite completa 8 piese</t>
  </si>
  <si>
    <t>ELT0138</t>
  </si>
  <si>
    <t>ELT0141</t>
  </si>
  <si>
    <t>ELT142</t>
  </si>
  <si>
    <t>Trusa multifunctionala de surubelnite 13 piese</t>
  </si>
  <si>
    <t>ELT143</t>
  </si>
  <si>
    <t>ELT144</t>
  </si>
  <si>
    <t>Creion de tensiune 1AC-D</t>
  </si>
  <si>
    <t>ELT145</t>
  </si>
  <si>
    <t>ELT146</t>
  </si>
  <si>
    <t>ELT147</t>
  </si>
  <si>
    <t>Cheie cu crichet mare</t>
  </si>
  <si>
    <t>ELT148</t>
  </si>
  <si>
    <t>Proiector pe baterie 10W</t>
  </si>
  <si>
    <t xml:space="preserve">Cleste decablator </t>
  </si>
  <si>
    <t>ELT182</t>
  </si>
  <si>
    <t>Surubelnita stea Tolsen</t>
  </si>
  <si>
    <t>Surubelnita dreapta Tolsen</t>
  </si>
  <si>
    <t>ELT183</t>
  </si>
  <si>
    <t>ELT184</t>
  </si>
  <si>
    <t xml:space="preserve">Surubelnita stea </t>
  </si>
  <si>
    <t>ELT185</t>
  </si>
  <si>
    <t>ELT186</t>
  </si>
  <si>
    <t>ELT187</t>
  </si>
  <si>
    <t xml:space="preserve">ELT193 </t>
  </si>
  <si>
    <t xml:space="preserve">Birou spate claudiu </t>
  </si>
  <si>
    <t>Column1</t>
  </si>
  <si>
    <t>Acumulator Makita filetanta 24 V 5.0 Ah</t>
  </si>
  <si>
    <t>ELT194</t>
  </si>
  <si>
    <t>Flex pe fir Makita GA5030R SN 2583800R</t>
  </si>
  <si>
    <t>Fostul birou tehnic</t>
  </si>
  <si>
    <t>Redresor auto</t>
  </si>
  <si>
    <t>ELT195</t>
  </si>
  <si>
    <t>ELT196</t>
  </si>
  <si>
    <t xml:space="preserve">ELT197 </t>
  </si>
  <si>
    <t>Telemetru Bosch GLM 10025C3601K72X00</t>
  </si>
  <si>
    <t>Masa sala depozitare</t>
  </si>
  <si>
    <t>Trusa surubelnita 2 manere, 8 surubelnite</t>
  </si>
  <si>
    <t>ELT206</t>
  </si>
  <si>
    <t>ELT207</t>
  </si>
  <si>
    <t>ELT208</t>
  </si>
  <si>
    <t>ELT209</t>
  </si>
  <si>
    <t>Scara 3x4 trepte</t>
  </si>
  <si>
    <t>ELT210</t>
  </si>
  <si>
    <t>ELT211</t>
  </si>
  <si>
    <t>Receptie noi</t>
  </si>
  <si>
    <t>ELT212</t>
  </si>
  <si>
    <t xml:space="preserve">Schela 7 trepte aluminiu </t>
  </si>
  <si>
    <t>Ice</t>
  </si>
  <si>
    <t>ELT213</t>
  </si>
  <si>
    <t>Masina de filetat Rothenberger</t>
  </si>
  <si>
    <t>Echipare Duba Peugeot</t>
  </si>
  <si>
    <t xml:space="preserve">Cutit masina de filetat 2 1/2 - 3 </t>
  </si>
  <si>
    <t>ELT214</t>
  </si>
  <si>
    <t>ELT215</t>
  </si>
  <si>
    <t>ELT216</t>
  </si>
  <si>
    <t xml:space="preserve">Cutit masina de filetat 2 -  1/2 </t>
  </si>
  <si>
    <t>ELT217</t>
  </si>
  <si>
    <t>Cleste pentru tevi cu falci Unior 482</t>
  </si>
  <si>
    <t>Mox marime medie alb JBM aluminiu argintiu</t>
  </si>
  <si>
    <t>ELT218</t>
  </si>
  <si>
    <t>ELT219</t>
  </si>
  <si>
    <t>ELT220</t>
  </si>
  <si>
    <t>Mox marime medie aluminiu argintiu RIGID 824</t>
  </si>
  <si>
    <t>ELT221</t>
  </si>
  <si>
    <t xml:space="preserve">Mox mediu rosu Rigid Heavy Duty </t>
  </si>
  <si>
    <t xml:space="preserve">Ranga mare </t>
  </si>
  <si>
    <t>ELT222</t>
  </si>
  <si>
    <t xml:space="preserve">Ranga medie </t>
  </si>
  <si>
    <t>ELT223</t>
  </si>
  <si>
    <t>ELT224</t>
  </si>
  <si>
    <t>Cheie cu funie</t>
  </si>
  <si>
    <t>ELT225</t>
  </si>
  <si>
    <t>ELT226</t>
  </si>
  <si>
    <t>ELT227</t>
  </si>
  <si>
    <t>ELT228</t>
  </si>
  <si>
    <t>ELT229</t>
  </si>
  <si>
    <t>ELT230</t>
  </si>
  <si>
    <t>ELT231</t>
  </si>
  <si>
    <t>ELT232</t>
  </si>
  <si>
    <t>ELT233</t>
  </si>
  <si>
    <t>ELT234</t>
  </si>
  <si>
    <t>ELT235</t>
  </si>
  <si>
    <t>ELT236</t>
  </si>
  <si>
    <t>ELT237</t>
  </si>
  <si>
    <t>ELT238</t>
  </si>
  <si>
    <t>ELT239</t>
  </si>
  <si>
    <t>ELT240</t>
  </si>
  <si>
    <t>ELT241</t>
  </si>
  <si>
    <t>ELT242</t>
  </si>
  <si>
    <t>ELT243</t>
  </si>
  <si>
    <t>ELT244</t>
  </si>
  <si>
    <t>ELT245</t>
  </si>
  <si>
    <t>ELT246</t>
  </si>
  <si>
    <t>ELT247</t>
  </si>
  <si>
    <t>ELT248</t>
  </si>
  <si>
    <t>ELT249</t>
  </si>
  <si>
    <t>ELT250</t>
  </si>
  <si>
    <t>ELT251</t>
  </si>
  <si>
    <t>ELT252</t>
  </si>
  <si>
    <t>ELT253</t>
  </si>
  <si>
    <t>ELT254</t>
  </si>
  <si>
    <t>ELT255</t>
  </si>
  <si>
    <t>ELT256</t>
  </si>
  <si>
    <t>ELT257</t>
  </si>
  <si>
    <t>ELT258</t>
  </si>
  <si>
    <t>ELT259</t>
  </si>
  <si>
    <t>ELT260</t>
  </si>
  <si>
    <t>ELT261</t>
  </si>
  <si>
    <t>ELT262</t>
  </si>
  <si>
    <t>ELT263</t>
  </si>
  <si>
    <t>ELT264</t>
  </si>
  <si>
    <t>ELT265</t>
  </si>
  <si>
    <t>ELT266</t>
  </si>
  <si>
    <t>ELT267</t>
  </si>
  <si>
    <t>ELT268</t>
  </si>
  <si>
    <t>ELT269</t>
  </si>
  <si>
    <t>Ciocan cauciuc</t>
  </si>
  <si>
    <t>Ciocan mic fier 250 g</t>
  </si>
  <si>
    <t>Ciocan Fier 0,5 kg</t>
  </si>
  <si>
    <t>Filetanta 120 LI 3601 JFO</t>
  </si>
  <si>
    <t>Fierastrau sabie Makita DJR 182 SN 208645Y</t>
  </si>
  <si>
    <t>Ciocan rotopercutor pe fir 252203R Makita</t>
  </si>
  <si>
    <t>Flex pe fir Makita 1041017R</t>
  </si>
  <si>
    <t>Ciocan rotopercutor pe fir 1359330-R Makita</t>
  </si>
  <si>
    <t>Proiector dublu 2x 50 W</t>
  </si>
  <si>
    <t>Flex pe fir Makita 1041010R</t>
  </si>
  <si>
    <t>Motopompa MPT 25-75</t>
  </si>
  <si>
    <t>Incarcator acumulator Makita  1 port</t>
  </si>
  <si>
    <t>Incarcator acumulator Makita SN 1216624</t>
  </si>
  <si>
    <t>Trusa electrofuziune Rothenberger</t>
  </si>
  <si>
    <t>Trusa tubulare si chei</t>
  </si>
  <si>
    <t>incompleta</t>
  </si>
  <si>
    <t>Rotopercutor pe acumulator Makita THR 241</t>
  </si>
  <si>
    <t>Acumulator Makita BL1850B 18V</t>
  </si>
  <si>
    <t>Trusa ustensile,surubelnite chei</t>
  </si>
  <si>
    <t>Incarcator Makita 4 porturi SN 630806-8</t>
  </si>
  <si>
    <t>Masina de canelat tevi Rothenberger</t>
  </si>
  <si>
    <t>Motoferastrau Gladiator TTCS6150</t>
  </si>
  <si>
    <t>Rola prelungitor 40 M</t>
  </si>
  <si>
    <t>Suflanta aer cald Wagner 2363345</t>
  </si>
  <si>
    <t>Acumulator Makita 18 V BL1860B</t>
  </si>
  <si>
    <t>Trusa surubelnite mare</t>
  </si>
  <si>
    <t>Trusa 3 compartimente compusa din chei si tubulare</t>
  </si>
  <si>
    <t>Trusa de lipire tevi PEHD cap la cap</t>
  </si>
  <si>
    <t>Plita de lipire tevi PPR R15110A</t>
  </si>
  <si>
    <t>Trusa plita rosie Energo 29201011</t>
  </si>
  <si>
    <t xml:space="preserve">Scara 3 trepte </t>
  </si>
  <si>
    <t>Plita Borman PRO BWM4110 Bacuri mari 75-110</t>
  </si>
  <si>
    <t>Trusa cu organizator unelte</t>
  </si>
  <si>
    <t>Palan cu lant 500 kg</t>
  </si>
  <si>
    <t>Trusa ROMSTAL albastru cu chei, tubulare, suruburi, piulite, saibe</t>
  </si>
  <si>
    <t>Cleste pentru filete Rothenberger</t>
  </si>
  <si>
    <t>Trusa carote lemn Erbauer 19-76</t>
  </si>
  <si>
    <t>Trusa magnum biti + tubulare</t>
  </si>
  <si>
    <t>80%incompleta</t>
  </si>
  <si>
    <t>Trusa laser Ilfine</t>
  </si>
  <si>
    <t>Trusa tubulare  JBM</t>
  </si>
  <si>
    <t>Masa cu menghina si banc</t>
  </si>
  <si>
    <t>ELT270</t>
  </si>
  <si>
    <t>ELT271</t>
  </si>
  <si>
    <t>ELT272</t>
  </si>
  <si>
    <t>ELT273</t>
  </si>
  <si>
    <t>ELT274</t>
  </si>
  <si>
    <t>ELT275</t>
  </si>
  <si>
    <t>ELT276</t>
  </si>
  <si>
    <t>ELT277</t>
  </si>
  <si>
    <t>ELT278</t>
  </si>
  <si>
    <t>Cleste papagal reglabil ( mox mic rosu)</t>
  </si>
  <si>
    <t>Cleste reglabil Rosu</t>
  </si>
  <si>
    <t>Mox Rosu mic</t>
  </si>
  <si>
    <t>Sfic decablator</t>
  </si>
  <si>
    <t>Cleste cu manere lungi rosu</t>
  </si>
  <si>
    <t>Mox mic albastru</t>
  </si>
  <si>
    <t>Cleste papagal ascutit</t>
  </si>
  <si>
    <t>Incarcator cu acumulator de filetatanta rotunda mica bosch 044458 330 EC 12 V</t>
  </si>
  <si>
    <t>ELT 279</t>
  </si>
  <si>
    <t>ELT 280</t>
  </si>
  <si>
    <t>ELT 281</t>
  </si>
  <si>
    <t>ELT 282</t>
  </si>
  <si>
    <t>ELT 283</t>
  </si>
  <si>
    <t>Incarcator cu acumulator de filetatanta rotunda mica bosch 021438 EC 12 V</t>
  </si>
  <si>
    <t>Mox mic</t>
  </si>
  <si>
    <t>Baterie Makita 5 Ah GF2516D</t>
  </si>
  <si>
    <t>Organizator metalic 7 compartimente</t>
  </si>
  <si>
    <t>ELT 284</t>
  </si>
  <si>
    <t>ELT 285</t>
  </si>
  <si>
    <t>ELT 286</t>
  </si>
  <si>
    <t>ELT 287</t>
  </si>
  <si>
    <t>ELT 288</t>
  </si>
  <si>
    <t>ELT 289</t>
  </si>
  <si>
    <t>ELT 290</t>
  </si>
  <si>
    <t>ELT 291</t>
  </si>
  <si>
    <t>ELT 292</t>
  </si>
  <si>
    <t>ELT 293</t>
  </si>
  <si>
    <t>ELT 294</t>
  </si>
  <si>
    <t>ELT 295</t>
  </si>
  <si>
    <t>ELT 296</t>
  </si>
  <si>
    <t>ELT 297</t>
  </si>
  <si>
    <t>ELT 298</t>
  </si>
  <si>
    <t>ELT 299</t>
  </si>
  <si>
    <t>ELT 300</t>
  </si>
  <si>
    <t>Cheie hidrant ext</t>
  </si>
  <si>
    <t>Presa hidraulica 6T</t>
  </si>
  <si>
    <t>Foarfeca PPR  OUDISI PPD dn 75</t>
  </si>
  <si>
    <t>Foarfeca PPR Rothenberger</t>
  </si>
  <si>
    <t>Cheie franceza</t>
  </si>
  <si>
    <t>Mox reglabil pe piulita albastru</t>
  </si>
  <si>
    <t>Canistra 20 L</t>
  </si>
  <si>
    <t xml:space="preserve">Canistra 20 L </t>
  </si>
  <si>
    <t>Cumpara 80 cm argintie</t>
  </si>
  <si>
    <t>Palan 0,75 tone</t>
  </si>
  <si>
    <t xml:space="preserve">Tarnacop </t>
  </si>
  <si>
    <t>Harlet</t>
  </si>
  <si>
    <t>Lopata</t>
  </si>
  <si>
    <t>Prelungitor 20 m portocaliu 1 port</t>
  </si>
  <si>
    <t>Set imbusi</t>
  </si>
  <si>
    <t>ELT 301</t>
  </si>
  <si>
    <t>ELT 302</t>
  </si>
  <si>
    <t>ELT 303</t>
  </si>
  <si>
    <t>ELT 304</t>
  </si>
  <si>
    <t>ELT 305</t>
  </si>
  <si>
    <t>ELT 306</t>
  </si>
  <si>
    <t>ELT 307</t>
  </si>
  <si>
    <t>ELT 308</t>
  </si>
  <si>
    <t>ELT 309</t>
  </si>
  <si>
    <t>ELT 310</t>
  </si>
  <si>
    <t>ELT 311</t>
  </si>
  <si>
    <t>ELT 312</t>
  </si>
  <si>
    <t>ELT 313</t>
  </si>
  <si>
    <t>ELT 314</t>
  </si>
  <si>
    <t>Acumulator filetanta Makita BL1820B 18 V</t>
  </si>
  <si>
    <t>Filetanta Bosch GSR 120 LI SN 360`JG8000</t>
  </si>
  <si>
    <t xml:space="preserve">Acumulator Bosch mic rotund </t>
  </si>
  <si>
    <t>Rola furtun pompier</t>
  </si>
  <si>
    <t>Cumpana Galbena</t>
  </si>
  <si>
    <t>Prelungitor 4 porturi - 50 m</t>
  </si>
  <si>
    <t xml:space="preserve">telemetru Bosch </t>
  </si>
  <si>
    <t>Plita Cobra GM 009</t>
  </si>
  <si>
    <t>Trusa 5 filiere Pt tevi Lumytools</t>
  </si>
  <si>
    <t xml:space="preserve">Trusa cutter PEHD DN  90-160 </t>
  </si>
  <si>
    <t>ELT 323</t>
  </si>
  <si>
    <t>ELT 324</t>
  </si>
  <si>
    <t>ELT 325</t>
  </si>
  <si>
    <t>ELT 326</t>
  </si>
  <si>
    <t>ELT 327</t>
  </si>
  <si>
    <t>ELT 328</t>
  </si>
  <si>
    <t>ELT 329</t>
  </si>
  <si>
    <t>ELT 330</t>
  </si>
  <si>
    <t>ELT 331</t>
  </si>
  <si>
    <t>ELT 332</t>
  </si>
  <si>
    <t>ELT 333</t>
  </si>
  <si>
    <t>ELT 334</t>
  </si>
  <si>
    <t>ELT 335</t>
  </si>
  <si>
    <t>ELT 336</t>
  </si>
  <si>
    <t>Masina de filetat electrica portabila Rigid 690  09D46982</t>
  </si>
  <si>
    <t>Set surubelnite 101 Piese</t>
  </si>
  <si>
    <t>Set capete surubelnite Magnuson</t>
  </si>
  <si>
    <t>Menghina pt masa</t>
  </si>
  <si>
    <t>Pistol de impuscat cuie+incarcator SPIT 800 Pulsa 2018 SN 806230335</t>
  </si>
  <si>
    <t>Bormasina Panzer PHD 450C 20 W 16000926</t>
  </si>
  <si>
    <t xml:space="preserve">Suflanta cu aer cald LUND 7318 Opalarka </t>
  </si>
  <si>
    <t>Trusa de chei Yato si tubulare</t>
  </si>
  <si>
    <t>Pistol de impuscat cuie+incarcator SPIT 800 Pulsa 2017 SN712230816</t>
  </si>
  <si>
    <t>Set surubelnite 12 piese</t>
  </si>
  <si>
    <t>ELT 337</t>
  </si>
  <si>
    <t>ELT 338</t>
  </si>
  <si>
    <t>ELT 339</t>
  </si>
  <si>
    <t>ELT 340</t>
  </si>
  <si>
    <t>ELT 341</t>
  </si>
  <si>
    <t>ELT 342</t>
  </si>
  <si>
    <t xml:space="preserve">Pistol de lipit Chrome </t>
  </si>
  <si>
    <t>Filetanta dewalt DCD 776 W12 Ro31 + acumulator</t>
  </si>
  <si>
    <t>Aparat de sudura cu invertor DS-200 compact H6320821730084</t>
  </si>
  <si>
    <t>Fierastrau pendular electric Bosch PST650E</t>
  </si>
  <si>
    <t>Flex pe fir Dexter 800 AG125,5</t>
  </si>
  <si>
    <t>Ciocan rotopercutor pe fir Wurth Master MH 40 SE</t>
  </si>
  <si>
    <t xml:space="preserve">Malaxor pt vopsea si mortar (melc) Parkisde - masina de amestecat </t>
  </si>
  <si>
    <t>Ciocan rotoperutor Bosch cu acumulator GBH 18 V - 26 F SN 811001671</t>
  </si>
  <si>
    <t>Fierastrau circular PCS1200C</t>
  </si>
  <si>
    <t>Fierastrau pendular circular PJS350C</t>
  </si>
  <si>
    <t xml:space="preserve">Pistol de lipit pe acumulator </t>
  </si>
  <si>
    <t>Incarcator de acumulator EINHELL</t>
  </si>
  <si>
    <t>Acumulator 18 V Einhell</t>
  </si>
  <si>
    <t>Set foarfece taiat crengi</t>
  </si>
  <si>
    <t>Ruleta Magnuson 50 m</t>
  </si>
  <si>
    <t>Pompa de apa gradina PG 1300-6155MM</t>
  </si>
  <si>
    <t>ELT 343</t>
  </si>
  <si>
    <t>ELT 344</t>
  </si>
  <si>
    <t>ELT 345</t>
  </si>
  <si>
    <t>ELT 346</t>
  </si>
  <si>
    <t>ELT 347</t>
  </si>
  <si>
    <t>ELT 348</t>
  </si>
  <si>
    <t>ELT 349</t>
  </si>
  <si>
    <t>ELT 350</t>
  </si>
  <si>
    <t>ELT 351</t>
  </si>
  <si>
    <t>ELT 352</t>
  </si>
  <si>
    <t>ELT 353</t>
  </si>
  <si>
    <t>ELT 354</t>
  </si>
  <si>
    <t>ELT 355</t>
  </si>
  <si>
    <t>ELT 356</t>
  </si>
  <si>
    <t>ELT 357</t>
  </si>
  <si>
    <t>ELT 358</t>
  </si>
  <si>
    <t>ELT 359</t>
  </si>
  <si>
    <t>ELT 360</t>
  </si>
  <si>
    <t>ELT 362</t>
  </si>
  <si>
    <t>ELT 363</t>
  </si>
  <si>
    <t>Aspirator Stanley</t>
  </si>
  <si>
    <t>Aspirator Gorenje</t>
  </si>
  <si>
    <t>Carota fi 92</t>
  </si>
  <si>
    <t>Carota fi 150</t>
  </si>
  <si>
    <t>Carota fi 300</t>
  </si>
  <si>
    <t>Masa trepied cu menghina</t>
  </si>
  <si>
    <t>Filetanta Makita DDF482 2024.1 SN 1830620</t>
  </si>
  <si>
    <t>Aspirator Parkside</t>
  </si>
  <si>
    <t>ELT 364</t>
  </si>
  <si>
    <t>Filetanta Impact Makita DTW 180 2021.7 SN 0067743 Y</t>
  </si>
  <si>
    <t xml:space="preserve">Sistem modular de cutii de scule pe roti Dexter </t>
  </si>
  <si>
    <t>Masina de gaurit Pattfield PE500 TBM</t>
  </si>
  <si>
    <t>ELT 365</t>
  </si>
  <si>
    <t>ELT 366</t>
  </si>
  <si>
    <t>ELT 367</t>
  </si>
  <si>
    <t>ELT 368</t>
  </si>
  <si>
    <t>ELT 369</t>
  </si>
  <si>
    <t>ELT 371</t>
  </si>
  <si>
    <t>ELT 372</t>
  </si>
  <si>
    <t>ELT 373</t>
  </si>
  <si>
    <t>ELT 374</t>
  </si>
  <si>
    <t>ELT 375</t>
  </si>
  <si>
    <t>Aparat de spalat cu presiune Parkside</t>
  </si>
  <si>
    <t>Crick hidraulic</t>
  </si>
  <si>
    <t>Pompa submersibila</t>
  </si>
  <si>
    <t>generator 6 kW Rato</t>
  </si>
  <si>
    <t>Fierastrau circular basculat Dexter</t>
  </si>
  <si>
    <t>Presa hidraulica presa papuci pe acumulator Milwaukee M18 HCT</t>
  </si>
  <si>
    <t>Filetanta Dewalt pe acumulator DCD 795 SN 240731</t>
  </si>
  <si>
    <t>Filetanta Bosch GSR 18 V-50 SN 3601 JH5000 cu acumulator</t>
  </si>
  <si>
    <t>Depozit tablotistica 2</t>
  </si>
  <si>
    <t>Filetanta Panzer 18 V SN 042200207</t>
  </si>
  <si>
    <t>Parkside PMFFW 310E3 unealta multifunctionala Parkside</t>
  </si>
  <si>
    <t>Multimetru digital LEXMAN</t>
  </si>
  <si>
    <t>Tester tensiune UNIT UT51B</t>
  </si>
  <si>
    <t>ELT 376</t>
  </si>
  <si>
    <t>ELT 377</t>
  </si>
  <si>
    <t>ELT 378</t>
  </si>
  <si>
    <t>ELT 379</t>
  </si>
  <si>
    <t>ELT 380</t>
  </si>
  <si>
    <t>ELT 381</t>
  </si>
  <si>
    <t>ELT 382</t>
  </si>
  <si>
    <t>Cleste sertizat papuci cablu</t>
  </si>
  <si>
    <t>Tun de caldura Stanley 2 kw</t>
  </si>
  <si>
    <t>Incarcator Milwaukee</t>
  </si>
  <si>
    <t>Filetanta +incarcator Makita DE46D 2019 SN 4614069E</t>
  </si>
  <si>
    <t>Multimetru digital EM5510</t>
  </si>
  <si>
    <t>Compresor de aer Portabil</t>
  </si>
  <si>
    <t>ELT 383</t>
  </si>
  <si>
    <t>ELT 384</t>
  </si>
  <si>
    <t>ELT 385</t>
  </si>
  <si>
    <t>ELT 386</t>
  </si>
  <si>
    <t>ELT 387</t>
  </si>
  <si>
    <t>ELT 388</t>
  </si>
  <si>
    <t>ELT 389</t>
  </si>
  <si>
    <t>Scara 12 trepte mare</t>
  </si>
  <si>
    <t>Scara 4 trepte</t>
  </si>
  <si>
    <t xml:space="preserve">Cheie platbanda </t>
  </si>
  <si>
    <t>ELT 390</t>
  </si>
  <si>
    <t>ELT 391</t>
  </si>
  <si>
    <t>ELT 392</t>
  </si>
  <si>
    <t>ELT 393</t>
  </si>
  <si>
    <t>ELT 394</t>
  </si>
  <si>
    <t>ELT 395</t>
  </si>
  <si>
    <t>ELT 396</t>
  </si>
  <si>
    <t xml:space="preserve">Incarcator acumulator Parkside </t>
  </si>
  <si>
    <t>Acumulator Parkside 20 V</t>
  </si>
  <si>
    <t>Filetanta Bosch GDR 120 LI 3601 JFCC 001</t>
  </si>
  <si>
    <t>ELT 397</t>
  </si>
  <si>
    <t>ELT 398</t>
  </si>
  <si>
    <t>Pistol  cu cuie Rawplug R-SC4011</t>
  </si>
  <si>
    <t>Incarcator de acumulator Parkside</t>
  </si>
  <si>
    <t>Incarcator de acumulator Bosch AL 1820 CV</t>
  </si>
  <si>
    <t>Santier spital- Magazie</t>
  </si>
  <si>
    <t>Incarcator pistol CELO + acumulator</t>
  </si>
  <si>
    <t>Incarcator acumulator dewalt</t>
  </si>
  <si>
    <t xml:space="preserve">Incarcator Makita </t>
  </si>
  <si>
    <t>Baterie 18 V Makita  BL 1830 B</t>
  </si>
  <si>
    <t>Prelungitor 20 M 4 porturi</t>
  </si>
  <si>
    <t>ELT 399</t>
  </si>
  <si>
    <t>ELT 400</t>
  </si>
  <si>
    <t>ELT 401</t>
  </si>
  <si>
    <t>ELT 402</t>
  </si>
  <si>
    <t>ELT 403</t>
  </si>
  <si>
    <t>ELT 404</t>
  </si>
  <si>
    <t>ELT 405</t>
  </si>
  <si>
    <t>ELT 406</t>
  </si>
  <si>
    <t>ELT 407</t>
  </si>
  <si>
    <t>ELT 408</t>
  </si>
  <si>
    <t>ELT 409</t>
  </si>
  <si>
    <t>ELT 410</t>
  </si>
  <si>
    <t>ELT 411</t>
  </si>
  <si>
    <t>ELT 412</t>
  </si>
  <si>
    <t>ELT 413</t>
  </si>
  <si>
    <t>ELT 414</t>
  </si>
  <si>
    <t>ELT 415</t>
  </si>
  <si>
    <t>ELT 416</t>
  </si>
  <si>
    <t>ELT 417</t>
  </si>
  <si>
    <t>ELT 418</t>
  </si>
  <si>
    <t>ELT 419</t>
  </si>
  <si>
    <t>ELT 420</t>
  </si>
  <si>
    <t>ELT 421</t>
  </si>
  <si>
    <t>ELT 422</t>
  </si>
  <si>
    <t>ELT 423</t>
  </si>
  <si>
    <t>ELT 424</t>
  </si>
  <si>
    <t>ELT 425</t>
  </si>
  <si>
    <t>ELT 426</t>
  </si>
  <si>
    <t>ELT 427</t>
  </si>
  <si>
    <t>ELT 428</t>
  </si>
  <si>
    <t>ELT 429</t>
  </si>
  <si>
    <t>ELT 430</t>
  </si>
  <si>
    <t>ELT 431</t>
  </si>
  <si>
    <t>ELT 432</t>
  </si>
  <si>
    <t>ELT 433</t>
  </si>
  <si>
    <t>ELT 434</t>
  </si>
  <si>
    <t>ELT 435</t>
  </si>
  <si>
    <t>ELT 436</t>
  </si>
  <si>
    <t>ELT 437</t>
  </si>
  <si>
    <t>ELT 438</t>
  </si>
  <si>
    <t>ELT 439</t>
  </si>
  <si>
    <t>ELT 440</t>
  </si>
  <si>
    <t>ELT 441</t>
  </si>
  <si>
    <t>ELT 442</t>
  </si>
  <si>
    <t>ELT 443</t>
  </si>
  <si>
    <t>ELT 444</t>
  </si>
  <si>
    <t>ELT 445</t>
  </si>
  <si>
    <t>ELT 446</t>
  </si>
  <si>
    <t>ELT 447</t>
  </si>
  <si>
    <t>ELT 448</t>
  </si>
  <si>
    <t>ELT 449</t>
  </si>
  <si>
    <t>ELT 450</t>
  </si>
  <si>
    <t>ELT 451</t>
  </si>
  <si>
    <t>ELT 452</t>
  </si>
  <si>
    <t>ELT 453</t>
  </si>
  <si>
    <t>ELT 454</t>
  </si>
  <si>
    <t>ELT 455</t>
  </si>
  <si>
    <t>ELT 456</t>
  </si>
  <si>
    <t>ELT 457</t>
  </si>
  <si>
    <t>ELT 458</t>
  </si>
  <si>
    <t>ELT 459</t>
  </si>
  <si>
    <t>ELT 460</t>
  </si>
  <si>
    <t>ELT 461</t>
  </si>
  <si>
    <t>ELT 462</t>
  </si>
  <si>
    <t>ELT 463</t>
  </si>
  <si>
    <t>ELT 464</t>
  </si>
  <si>
    <t>ELT 465</t>
  </si>
  <si>
    <t>ELT 466</t>
  </si>
  <si>
    <t>ELT 467</t>
  </si>
  <si>
    <t>Ciocan rotopercutor Dewalt DCH263  W11J140</t>
  </si>
  <si>
    <t>Flex pe acumulator dewalt DCG406  N499034</t>
  </si>
  <si>
    <t>Acumulator 18 V Dewalt</t>
  </si>
  <si>
    <t>Filetanta Parkside PDSSAP 20 LI</t>
  </si>
  <si>
    <t>Rotopercutor Dewalt DCH 263 W17N7QD</t>
  </si>
  <si>
    <t>Fierastrau pendular electric Makita DS611 2024.10 SN 27165y</t>
  </si>
  <si>
    <t>Derulator tambur 1</t>
  </si>
  <si>
    <t>Derulator tambur 2</t>
  </si>
  <si>
    <t>Derulator tambur 3</t>
  </si>
  <si>
    <t>Incarcator Dewalt 4 porturi</t>
  </si>
  <si>
    <t>Acumulator Dewalt 18 V 2,0 Ah de filetanta</t>
  </si>
  <si>
    <t>Rotopercutor pe fir Makita HR2470 2024.10 SN 1359331R</t>
  </si>
  <si>
    <t>Filetanta Dewalt cu impact DCF 880 05413</t>
  </si>
  <si>
    <t>Telemetru Kiprim LD100 E</t>
  </si>
  <si>
    <t>Echipare Dogaru</t>
  </si>
  <si>
    <t>Rotopercutor Makita DHR 241 2024.6 SN 634542Y</t>
  </si>
  <si>
    <t>Acumulator Makita 18 V 6,0 Ah</t>
  </si>
  <si>
    <t>Canistra 10 L</t>
  </si>
  <si>
    <t>Masina de gaurit cu impact Parkside PDSSAP20 Li D3 Sn 99448908</t>
  </si>
  <si>
    <t xml:space="preserve">Baterie Parkside 18 V </t>
  </si>
  <si>
    <t xml:space="preserve">Incarcator Parkside </t>
  </si>
  <si>
    <t xml:space="preserve">Cleste ampermetric </t>
  </si>
  <si>
    <t xml:space="preserve">Echipare Cristi </t>
  </si>
  <si>
    <t>Trusa surubelnite</t>
  </si>
  <si>
    <t>Filetanta Parkside SN 9948894</t>
  </si>
  <si>
    <t>Rola 4 porturi 50 m</t>
  </si>
  <si>
    <t>Laser Bosch Gcl 2-15 SN 328005632</t>
  </si>
  <si>
    <t>Pistol Celo + 2 baterii + incarcator Force One 22B155091</t>
  </si>
  <si>
    <t>Laser Ilfine ( trusa)</t>
  </si>
  <si>
    <t>Scara cu 5 trepte</t>
  </si>
  <si>
    <t>Scara 6 trepte</t>
  </si>
  <si>
    <t>Scara 11 trepte</t>
  </si>
  <si>
    <t>Scara modulara 6 trepte</t>
  </si>
  <si>
    <t xml:space="preserve"> Proiector 100 W</t>
  </si>
  <si>
    <t>Filetanta Dewalt DCD777 + acumulator</t>
  </si>
  <si>
    <t>Filetanta cu impact Parkside PASSK20 LI ( trusa cu 2 acumulatori+ incarcator)</t>
  </si>
  <si>
    <t xml:space="preserve">Aeroterma Alba </t>
  </si>
  <si>
    <t>Tun de caldura Dedra 37 kW</t>
  </si>
  <si>
    <t>Stingator P6</t>
  </si>
  <si>
    <t>Aparat sudura+masca sudura Gorilla Iweld 232</t>
  </si>
  <si>
    <t>Flex pe fir Bosch GwS 880</t>
  </si>
  <si>
    <t>Filetanta Bosch GDR 18 V 160  3601 JG101 cu acumulator</t>
  </si>
  <si>
    <t xml:space="preserve">Filetanta Bosch GSR 120 Li </t>
  </si>
  <si>
    <t>Depozit Comarnic Contaigner</t>
  </si>
  <si>
    <t xml:space="preserve"> </t>
  </si>
  <si>
    <t>Masina de frezat caneluri Parkside PMNF 1500A1</t>
  </si>
  <si>
    <t>Polizor unghiular (mare) GA9040R</t>
  </si>
  <si>
    <t>Filetanta Parkside PBSPA12</t>
  </si>
  <si>
    <t>Masina de frezat caneluri Erbauer EWC 1500</t>
  </si>
  <si>
    <t>Bormasina pe fir Makita HR2470T</t>
  </si>
  <si>
    <t>Ciocan rotopercutor Bosch GBH 18V-26 SN 3611J09002</t>
  </si>
  <si>
    <t>Generator EM5500CXS</t>
  </si>
  <si>
    <t>Tarnacop</t>
  </si>
  <si>
    <t>Laser Bosch Mare</t>
  </si>
  <si>
    <t>Passat portbagaj</t>
  </si>
  <si>
    <t>mai compactor Honda GX 100</t>
  </si>
  <si>
    <t>Hala Atlassib</t>
  </si>
  <si>
    <t>Masina de taiat asfalt Bisonte FI500 Honda GX390</t>
  </si>
  <si>
    <t xml:space="preserve">Aparat de etichetat Brother </t>
  </si>
  <si>
    <t>Pompa submersibila  Pro Garden TP 1500A</t>
  </si>
  <si>
    <t>Masina de carotat HILTI DD200 - carota 93 si 160</t>
  </si>
  <si>
    <t>mcv albastru</t>
  </si>
  <si>
    <t>Rucsac Dexter echipat cu</t>
  </si>
  <si>
    <t>Set dexter compus din Sfic, Patent, Mox</t>
  </si>
  <si>
    <t>Sfic Dexter</t>
  </si>
  <si>
    <t>Fierastrau tencuiala</t>
  </si>
  <si>
    <t>Decablator Dexter</t>
  </si>
  <si>
    <t>Set surubelnite Dexter 12 piese 10 capuri 1 maner surubelnita</t>
  </si>
  <si>
    <t>Patent Dexter</t>
  </si>
  <si>
    <t>Cumpana Dexter</t>
  </si>
  <si>
    <t xml:space="preserve">Ciocan Dexter </t>
  </si>
  <si>
    <t>Set 31 de biti</t>
  </si>
  <si>
    <t>Decablator Yato</t>
  </si>
  <si>
    <t>ELT 142</t>
  </si>
  <si>
    <t>3 x tubulare 13</t>
  </si>
  <si>
    <t>3 x tubulare de 10</t>
  </si>
  <si>
    <t>1  cheie  fixa de 10</t>
  </si>
  <si>
    <t>1 cheie  fixa de 13</t>
  </si>
  <si>
    <t>ELT 463.1</t>
  </si>
  <si>
    <t>ELT 463.2</t>
  </si>
  <si>
    <t>ELT 463.3</t>
  </si>
  <si>
    <t>ELT 463.4</t>
  </si>
  <si>
    <t>ELT 463.5</t>
  </si>
  <si>
    <t>ELT 463.6</t>
  </si>
  <si>
    <t>ELT 463.7</t>
  </si>
  <si>
    <t>ELT 463.8</t>
  </si>
  <si>
    <t>ELT 463.9</t>
  </si>
  <si>
    <t>ELT 463.10</t>
  </si>
  <si>
    <t>ELT 463.11</t>
  </si>
  <si>
    <t>ELT 463.12</t>
  </si>
  <si>
    <t>ELT 463.13</t>
  </si>
  <si>
    <t>ELT 463.14</t>
  </si>
  <si>
    <t>ELT 463.15</t>
  </si>
  <si>
    <t xml:space="preserve"> debavurator tevi 20-63,</t>
  </si>
  <si>
    <t>set inbus  jbm,</t>
  </si>
  <si>
    <t>set torx jbm</t>
  </si>
  <si>
    <t>decablator cutit 1000 V,</t>
  </si>
  <si>
    <t>decablator automat Parkside</t>
  </si>
  <si>
    <t>cleste sertizat wiha</t>
  </si>
  <si>
    <t>decablator Adeleq</t>
  </si>
  <si>
    <t>patent Dexter</t>
  </si>
  <si>
    <t>creion tensiune Unit</t>
  </si>
  <si>
    <t>cleste decablator Jx304</t>
  </si>
  <si>
    <t>set inbus Yato</t>
  </si>
  <si>
    <t>lanterna antiex</t>
  </si>
  <si>
    <t>cheie franceza</t>
  </si>
  <si>
    <t>socket tester unit</t>
  </si>
  <si>
    <t>clampmetru Unit</t>
  </si>
  <si>
    <t>ruleta dexter 3m,</t>
  </si>
  <si>
    <t>ruleta Finder 5m</t>
  </si>
  <si>
    <t>ruleta airaj 7,5 m</t>
  </si>
  <si>
    <t>cutter Magnusson</t>
  </si>
  <si>
    <t>Rucsac Florin Vlad</t>
  </si>
  <si>
    <t>Cleste sertizare pini 0.08 - 16 mm²</t>
  </si>
  <si>
    <t>Chei fixe de 13 - 2 buc</t>
  </si>
  <si>
    <t>Chei fixe de 10 - 2 buc</t>
  </si>
  <si>
    <t>Cheie tubulara de 10 -  2 buc</t>
  </si>
  <si>
    <t>Cheie de tubulara de 13 - 2 buc</t>
  </si>
  <si>
    <t xml:space="preserve">Ruleta  Dexter 5m </t>
  </si>
  <si>
    <t>ELT 460.1</t>
  </si>
  <si>
    <t>ELT 460.2</t>
  </si>
  <si>
    <t>ELT 460.3</t>
  </si>
  <si>
    <t>ELT 460.4</t>
  </si>
  <si>
    <t>ELT 460.5</t>
  </si>
  <si>
    <t>ELT 460.6</t>
  </si>
  <si>
    <t>ELT 460.7</t>
  </si>
  <si>
    <t>ELT 460.8</t>
  </si>
  <si>
    <t>ELT 460.9</t>
  </si>
  <si>
    <t>ELT 460.10</t>
  </si>
  <si>
    <t xml:space="preserve">Rucsac Dexter Cristi Chican </t>
  </si>
  <si>
    <t>Boloboc dexter</t>
  </si>
  <si>
    <t>Fierastrau tencuiala  Dexter</t>
  </si>
  <si>
    <t xml:space="preserve">Cleste deizolator Dexter </t>
  </si>
  <si>
    <t>Mox Dexter</t>
  </si>
  <si>
    <t>Cheie fixa de 10</t>
  </si>
  <si>
    <t xml:space="preserve">Cheie fixa de 13 </t>
  </si>
  <si>
    <t>Set de biti</t>
  </si>
  <si>
    <t xml:space="preserve">Rucsac dexter dogaru octavian </t>
  </si>
  <si>
    <t>Lanterna de cap</t>
  </si>
  <si>
    <t>Tubulara de 19 - 2 buc</t>
  </si>
  <si>
    <t>Cleste cu varf ascutit</t>
  </si>
  <si>
    <t>Cheie fixa de 17</t>
  </si>
  <si>
    <t>Cheie fixa de 13 - 2 buc</t>
  </si>
  <si>
    <t xml:space="preserve">Surubelnita dreapta </t>
  </si>
  <si>
    <t>Cheie cu crichet de 17</t>
  </si>
  <si>
    <t>Set de capuri surubelnita Dewalt</t>
  </si>
  <si>
    <t>Tubulara de 13 - 2 buc</t>
  </si>
  <si>
    <t>Foarfeca taiat cablu</t>
  </si>
  <si>
    <t xml:space="preserve">Dalta plata manuala </t>
  </si>
  <si>
    <t>Surubelnita dreapta - 2 buc</t>
  </si>
  <si>
    <t xml:space="preserve">lanterna </t>
  </si>
  <si>
    <t xml:space="preserve">creion tensiune </t>
  </si>
  <si>
    <t>ELT 464.1</t>
  </si>
  <si>
    <t>ELT 464.2</t>
  </si>
  <si>
    <t>ELT 464.3</t>
  </si>
  <si>
    <t>ELT 464.4</t>
  </si>
  <si>
    <t>ELT 464.5</t>
  </si>
  <si>
    <t>ELT 464.6</t>
  </si>
  <si>
    <t>ELT 464.7</t>
  </si>
  <si>
    <t>ELT 464.8</t>
  </si>
  <si>
    <t>ELT 464.9</t>
  </si>
  <si>
    <t>ELT 464.10</t>
  </si>
  <si>
    <t>ELT 464.11</t>
  </si>
  <si>
    <t>ELT 464.12</t>
  </si>
  <si>
    <t>ELT 464.13</t>
  </si>
  <si>
    <t>ELT 464.14</t>
  </si>
  <si>
    <t>ELT 464.15</t>
  </si>
  <si>
    <t>ELT 464.16</t>
  </si>
  <si>
    <t>ELT 464.17</t>
  </si>
  <si>
    <t>ELT 464.18</t>
  </si>
  <si>
    <t>ELT 464.19</t>
  </si>
  <si>
    <t xml:space="preserve"> Tester Unit</t>
  </si>
  <si>
    <t>trusa surubelnita 10 piese</t>
  </si>
  <si>
    <t>Sertizor pini,</t>
  </si>
  <si>
    <t xml:space="preserve"> set imbusi</t>
  </si>
  <si>
    <t>Trusa de  surubelnita crichet 37 piese</t>
  </si>
  <si>
    <t>set de biti pt  surubelnite,</t>
  </si>
  <si>
    <t>fir trasor( rata)</t>
  </si>
  <si>
    <t xml:space="preserve">ruleta 5m </t>
  </si>
  <si>
    <t>set 8 chei tubulare,</t>
  </si>
  <si>
    <t>cheie fixa  17</t>
  </si>
  <si>
    <t>cheie fixa 13 - 3 buc</t>
  </si>
  <si>
    <t>decablator yato</t>
  </si>
  <si>
    <t>socket tester unit UT07A</t>
  </si>
  <si>
    <t>Trusa de mana Cristi Chican</t>
  </si>
  <si>
    <t>ELT 461.1</t>
  </si>
  <si>
    <t>ELT 461.2</t>
  </si>
  <si>
    <t>ELT 461.3</t>
  </si>
  <si>
    <t>ELT 461.4</t>
  </si>
  <si>
    <t>ELT 461.5</t>
  </si>
  <si>
    <t>ELT 461.6</t>
  </si>
  <si>
    <t>ELT 461.7</t>
  </si>
  <si>
    <t>ELT 461.8</t>
  </si>
  <si>
    <t>ELT 461.9</t>
  </si>
  <si>
    <t>ELT 461.10</t>
  </si>
  <si>
    <t>ELT 461.11</t>
  </si>
  <si>
    <t>ELT 461.12</t>
  </si>
  <si>
    <t>ELT 461.13</t>
  </si>
  <si>
    <t>ELT 461.14</t>
  </si>
  <si>
    <t xml:space="preserve"> Cleste sertizat pini</t>
  </si>
  <si>
    <t xml:space="preserve">foarfece taiat cablu </t>
  </si>
  <si>
    <t>cleste sertizat mufe rj45</t>
  </si>
  <si>
    <t xml:space="preserve"> Cleste decablator</t>
  </si>
  <si>
    <t>creion Tensiune,</t>
  </si>
  <si>
    <t>Mox Dexter mic</t>
  </si>
  <si>
    <t>Socket tester</t>
  </si>
  <si>
    <t>Cheie fixa  de 10</t>
  </si>
  <si>
    <t>Cheie fixa  de 13</t>
  </si>
  <si>
    <t>Set de imbusi</t>
  </si>
  <si>
    <t>Cater</t>
  </si>
  <si>
    <t>Trusa de mana Danil</t>
  </si>
  <si>
    <t>ELT 461.15</t>
  </si>
  <si>
    <t>ELT 461.16</t>
  </si>
  <si>
    <t>ELT 461.17</t>
  </si>
  <si>
    <t>ELT 461.18</t>
  </si>
  <si>
    <t>Spital Bmw x1</t>
  </si>
  <si>
    <t>ELT 466.1</t>
  </si>
  <si>
    <t>ELT 466.2</t>
  </si>
  <si>
    <t>ELT 466.3</t>
  </si>
  <si>
    <t>ELT 466.4</t>
  </si>
  <si>
    <t>ELT 466.5</t>
  </si>
  <si>
    <t>ELT 466.6</t>
  </si>
  <si>
    <t>ELT 466.7</t>
  </si>
  <si>
    <t>ELT 466.8</t>
  </si>
  <si>
    <t>ELT 466.9</t>
  </si>
  <si>
    <t>ELT 466.10</t>
  </si>
  <si>
    <t>ELT 466.11</t>
  </si>
  <si>
    <t>ELT 466.12</t>
  </si>
  <si>
    <t>ELT 466.13</t>
  </si>
  <si>
    <t>ELT 466.14</t>
  </si>
  <si>
    <t>cater Magnuson</t>
  </si>
  <si>
    <t xml:space="preserve"> sfic Dexter</t>
  </si>
  <si>
    <t>Cheie fixa de 9</t>
  </si>
  <si>
    <t>ELT123.1</t>
  </si>
  <si>
    <t>ELT123.2</t>
  </si>
  <si>
    <t>ELT123.3</t>
  </si>
  <si>
    <t>ELT123.4</t>
  </si>
  <si>
    <t>ELT123.5</t>
  </si>
  <si>
    <t>ELT123.6</t>
  </si>
  <si>
    <t>ELT123.7</t>
  </si>
  <si>
    <t>ELT123.8</t>
  </si>
  <si>
    <t xml:space="preserve">Patent Dexter </t>
  </si>
  <si>
    <t>Cheie de 13 cu crichet</t>
  </si>
  <si>
    <t>Surubelnita stea</t>
  </si>
  <si>
    <t>Ruleta 5 m dexter</t>
  </si>
  <si>
    <t>126.1</t>
  </si>
  <si>
    <t>126.2</t>
  </si>
  <si>
    <t>126.3</t>
  </si>
  <si>
    <t>126.4</t>
  </si>
  <si>
    <t>126.5</t>
  </si>
  <si>
    <t>126.6</t>
  </si>
  <si>
    <t>126.7</t>
  </si>
  <si>
    <t>126.8</t>
  </si>
  <si>
    <t>126.9</t>
  </si>
  <si>
    <t>Predat</t>
  </si>
  <si>
    <t>Danil</t>
  </si>
  <si>
    <t>Santier Ice</t>
  </si>
  <si>
    <t>Andy</t>
  </si>
  <si>
    <t>Set tester retea (tester, surubelnita,cleste sertizare,cleste de izolat si taiat cablu)</t>
  </si>
  <si>
    <t xml:space="preserve">Smaraldului </t>
  </si>
  <si>
    <t>Florin</t>
  </si>
  <si>
    <t xml:space="preserve">Ice </t>
  </si>
  <si>
    <t>Andrei</t>
  </si>
  <si>
    <t>Data</t>
  </si>
  <si>
    <t>Smaraldului</t>
  </si>
  <si>
    <t>Claudiu</t>
  </si>
  <si>
    <t>Set surubelnite  componenta din trusa ELT 463</t>
  </si>
  <si>
    <t>Rucsac Dexter</t>
  </si>
  <si>
    <t>Inel II ( tablotistica)</t>
  </si>
  <si>
    <t>Cheie fixa de 13</t>
  </si>
  <si>
    <t xml:space="preserve">Cheie tubulara de 10 </t>
  </si>
  <si>
    <t>Set 31 de biti Dexter</t>
  </si>
  <si>
    <t>Trusa de surubelnite Dexter</t>
  </si>
  <si>
    <t>Ruleta Erbauer</t>
  </si>
  <si>
    <t>ELT 467.1</t>
  </si>
  <si>
    <t>ELT 467.2</t>
  </si>
  <si>
    <t>ELT 467.3</t>
  </si>
  <si>
    <t>ELT 467.4</t>
  </si>
  <si>
    <t>ELT 467.5</t>
  </si>
  <si>
    <t>ELT 467.6</t>
  </si>
  <si>
    <t>ELT 467.7</t>
  </si>
  <si>
    <t>ELT 467.8</t>
  </si>
  <si>
    <t>ELT 467.9</t>
  </si>
  <si>
    <t>ELT 467.10</t>
  </si>
  <si>
    <t>ELT 467.11</t>
  </si>
  <si>
    <t>ELT 467.12</t>
  </si>
  <si>
    <t>ELT 467.13</t>
  </si>
  <si>
    <t>ELT 468</t>
  </si>
  <si>
    <t>Rucsac Dewalt</t>
  </si>
  <si>
    <t>Bmw x1</t>
  </si>
  <si>
    <t>Cleste ampermetric  Unit UT201R</t>
  </si>
  <si>
    <t>Testare Lan Unit UT682</t>
  </si>
  <si>
    <t>Cleste sertizat Wiha</t>
  </si>
  <si>
    <t>ELT 468.1</t>
  </si>
  <si>
    <t>ELT 468.2</t>
  </si>
  <si>
    <t>ELT 468.3</t>
  </si>
  <si>
    <t>Echipare Danil</t>
  </si>
  <si>
    <t xml:space="preserve"> Echipare Cristi Chican</t>
  </si>
  <si>
    <t>Echipare Vlad Florin</t>
  </si>
  <si>
    <t>Lodgy</t>
  </si>
  <si>
    <t>ELT 469</t>
  </si>
  <si>
    <t>Pistol de silicon</t>
  </si>
  <si>
    <t>Birou, camera Rack</t>
  </si>
  <si>
    <t>Echipare Claudiu Longier</t>
  </si>
  <si>
    <t>Echipare Cristi Chican</t>
  </si>
  <si>
    <t>Echipare Dogaru Octavian</t>
  </si>
  <si>
    <t>Cleste dexter</t>
  </si>
  <si>
    <t xml:space="preserve">Patent dexter </t>
  </si>
  <si>
    <t>ELT 459.1</t>
  </si>
  <si>
    <t>ELT 459.2</t>
  </si>
  <si>
    <t>ELT 459.3</t>
  </si>
  <si>
    <t>ELT 459.4</t>
  </si>
  <si>
    <t>ELT 459.5</t>
  </si>
  <si>
    <t>ELT 459.6</t>
  </si>
  <si>
    <t>ELT 459.7</t>
  </si>
  <si>
    <t>ELT 459.8</t>
  </si>
  <si>
    <t>ELT 459.9</t>
  </si>
  <si>
    <t>ELT 459.10</t>
  </si>
  <si>
    <t>ELT 459.11</t>
  </si>
  <si>
    <t>ELT 465.1</t>
  </si>
  <si>
    <t>ELT 465.2</t>
  </si>
  <si>
    <t>ELT 465.3</t>
  </si>
  <si>
    <t>ELT 465.4</t>
  </si>
  <si>
    <t>ELT 465.5</t>
  </si>
  <si>
    <t>ELT 465.6</t>
  </si>
  <si>
    <t>ELT 465.7</t>
  </si>
  <si>
    <t>ELT 465.8</t>
  </si>
  <si>
    <t>ELT 465.9</t>
  </si>
  <si>
    <t>ELT 465.10</t>
  </si>
  <si>
    <t>ELT 465.11</t>
  </si>
  <si>
    <t>ELT 465.12</t>
  </si>
  <si>
    <t>ELT 465.13</t>
  </si>
  <si>
    <t>ELT 465.14</t>
  </si>
  <si>
    <t>ELT 465.15</t>
  </si>
  <si>
    <t>ELT 465.16</t>
  </si>
  <si>
    <t xml:space="preserve">Echipare duba peugeot </t>
  </si>
  <si>
    <t xml:space="preserve"> trusa Claudiu</t>
  </si>
  <si>
    <t xml:space="preserve">Mox  mic Dexter - 2 bucati </t>
  </si>
  <si>
    <t>Stoc Depozit</t>
  </si>
  <si>
    <t>Column2</t>
  </si>
  <si>
    <t>Stoc PV individual</t>
  </si>
  <si>
    <t>Column3</t>
  </si>
  <si>
    <t>Polizor unghiular Parkside Performace fara fir de 20V »PWSAP 20-Li G7 fara baterie si incarcator</t>
  </si>
  <si>
    <t>Santier Aduro-Martin</t>
  </si>
  <si>
    <t xml:space="preserve"> ELR 470</t>
  </si>
  <si>
    <t>Cleste taiat lateral Parkside</t>
  </si>
  <si>
    <t>ELT 472</t>
  </si>
  <si>
    <t>ELT 473</t>
  </si>
  <si>
    <t>Incarcator Parkside  PLG 20 C1</t>
  </si>
  <si>
    <t>ELT 474</t>
  </si>
  <si>
    <t>ELT 475</t>
  </si>
  <si>
    <t>Cheie cu crichet pentru tubulare Parkside</t>
  </si>
  <si>
    <t>ELT 476</t>
  </si>
  <si>
    <t>ELT 477</t>
  </si>
  <si>
    <t>ELT 478</t>
  </si>
  <si>
    <t>ELT 479</t>
  </si>
  <si>
    <t>ELT 480</t>
  </si>
  <si>
    <t>ELT 481</t>
  </si>
  <si>
    <t>ELT 482</t>
  </si>
  <si>
    <t>ELT 483</t>
  </si>
  <si>
    <t>ELT 484</t>
  </si>
  <si>
    <t>Trusa de spiral Parkside pentru filetanta</t>
  </si>
  <si>
    <t>Acumulator Parkside 20 V -4 Ah  SN 266938</t>
  </si>
  <si>
    <t>Acumulator Parkside 20 V -4 Ah  SN 270141</t>
  </si>
  <si>
    <t>Acumulator Parkside 20 V -4 Ah  SN 2714143</t>
  </si>
  <si>
    <t>Cheie reglabila pentru tevi JBM argintiu - marime medie</t>
  </si>
  <si>
    <t xml:space="preserve">Incarcator Bosch baterie </t>
  </si>
  <si>
    <t>Baterie pentru filetanta Bosch 5.0 Ah</t>
  </si>
  <si>
    <t>ELT 485</t>
  </si>
  <si>
    <t>ELT 488</t>
  </si>
  <si>
    <t>Set biti Bosch</t>
  </si>
  <si>
    <t>Depozit Inel II</t>
  </si>
  <si>
    <t>Echipare trusa ELT 489</t>
  </si>
  <si>
    <t>SET DE chei fixe ( 8-13)</t>
  </si>
  <si>
    <t>ELT 489</t>
  </si>
  <si>
    <t xml:space="preserve">Trusa de mana echipata cu </t>
  </si>
  <si>
    <t>ELT 489.1</t>
  </si>
  <si>
    <t>Cheie fixa 17</t>
  </si>
  <si>
    <t>Set imbusi Total</t>
  </si>
  <si>
    <t>Capete chei Tubulare 12mm, 16 mm 17mm, 19mm , 21mm , 22mm,20mm</t>
  </si>
  <si>
    <t>Cheie franceza reglabila</t>
  </si>
  <si>
    <t>ELT 489.2</t>
  </si>
  <si>
    <t>ELT 489.3</t>
  </si>
  <si>
    <t>ELT 489.4</t>
  </si>
  <si>
    <t>ELT 489.5</t>
  </si>
  <si>
    <t>ELT 489.6</t>
  </si>
  <si>
    <t>ELT 489.7</t>
  </si>
  <si>
    <t>ELT 489.8</t>
  </si>
  <si>
    <t>ELT 490</t>
  </si>
  <si>
    <t>ELT 491</t>
  </si>
  <si>
    <t>ELT 492</t>
  </si>
  <si>
    <t>Set de conuri Parkside</t>
  </si>
  <si>
    <t>Santier spital</t>
  </si>
  <si>
    <t xml:space="preserve"> ELR 471</t>
  </si>
  <si>
    <t>Cleste pentru tevi 2`` Parkside</t>
  </si>
  <si>
    <t>Martin</t>
  </si>
  <si>
    <t xml:space="preserve"> Trusa Organizator Pini</t>
  </si>
  <si>
    <t>Trusa Organizator Pini</t>
  </si>
  <si>
    <t>Cleste tais lateral</t>
  </si>
  <si>
    <t>ELT 468.4</t>
  </si>
  <si>
    <t>ELT 468.5</t>
  </si>
  <si>
    <t>ELT 468.6</t>
  </si>
  <si>
    <t>Plita total TT328151 echipata cu bacuri 20-25-32-40-50-63</t>
  </si>
  <si>
    <t>Trusa de mana Instalator ELT 489</t>
  </si>
  <si>
    <t>ELT 493</t>
  </si>
  <si>
    <t>ELT 494</t>
  </si>
  <si>
    <t>Cleste pentru tevi, dimensiuni mari, argintiu</t>
  </si>
  <si>
    <t>ELT 495</t>
  </si>
  <si>
    <t>Ham alpinist utilitar albastru</t>
  </si>
  <si>
    <t>Predare Ice</t>
  </si>
  <si>
    <t>Catre Andy</t>
  </si>
  <si>
    <t>ELT 496</t>
  </si>
  <si>
    <t>ELT 497</t>
  </si>
  <si>
    <t>ELT 498</t>
  </si>
  <si>
    <t>Centura alpinist utilitar</t>
  </si>
  <si>
    <t>ELT 466.15</t>
  </si>
  <si>
    <t>ELT 466.16</t>
  </si>
  <si>
    <t>ELT 466.17</t>
  </si>
  <si>
    <t>ELT 466.18</t>
  </si>
  <si>
    <t>Cumpana mica</t>
  </si>
  <si>
    <t>Surubelnita dreapta</t>
  </si>
  <si>
    <t>Echipare Covalciuc</t>
  </si>
  <si>
    <t>ELT 499</t>
  </si>
  <si>
    <t>ELT 500</t>
  </si>
  <si>
    <t>ELT 501</t>
  </si>
  <si>
    <t>ELT 502</t>
  </si>
  <si>
    <t>ELT 503</t>
  </si>
  <si>
    <t>ELT 504</t>
  </si>
  <si>
    <t>ELT 505</t>
  </si>
  <si>
    <t>ELT 506</t>
  </si>
  <si>
    <t>ELT 507</t>
  </si>
  <si>
    <t>ELT 510</t>
  </si>
  <si>
    <t>ELT 511</t>
  </si>
  <si>
    <t>Sfic CR-V</t>
  </si>
  <si>
    <t>Catre Danil</t>
  </si>
  <si>
    <t>Ciocan rotopercutor Bosch GBH 18V-21SN 232021650</t>
  </si>
  <si>
    <t>ELT 504.1</t>
  </si>
  <si>
    <t xml:space="preserve">Acumulator Bosch Gal 18V-40 ( 4Ah) </t>
  </si>
  <si>
    <t xml:space="preserve">Incarcator  acumulator Gal </t>
  </si>
  <si>
    <t>ELT 505.1</t>
  </si>
  <si>
    <t>Ciocan rotopercutor Bosch GBH 18V-21SN 225070819</t>
  </si>
  <si>
    <t>Hilti TE500 Ciocan demolator pe fir (serie deteriorata)</t>
  </si>
  <si>
    <t>ELT 315</t>
  </si>
  <si>
    <t xml:space="preserve">Nacela </t>
  </si>
  <si>
    <t>Vlad Florin</t>
  </si>
  <si>
    <t>Trusa pistol  ForceOne Celo SN 234175071</t>
  </si>
  <si>
    <t>Renault Trafic</t>
  </si>
  <si>
    <t>Trusa pistol  ForceOne Celo SN 234205751</t>
  </si>
  <si>
    <t>ELT 512</t>
  </si>
  <si>
    <t>ELT 513</t>
  </si>
  <si>
    <t>ELT 514</t>
  </si>
  <si>
    <t>ELT 515</t>
  </si>
  <si>
    <t>ELT 516</t>
  </si>
  <si>
    <t>ELT 517</t>
  </si>
  <si>
    <t>ELT 518</t>
  </si>
  <si>
    <t>ELT 519</t>
  </si>
  <si>
    <t>ELT 520</t>
  </si>
  <si>
    <t>ELT 521</t>
  </si>
  <si>
    <t>Suflanta aer cald MSW SN 236120180237</t>
  </si>
  <si>
    <t xml:space="preserve">PRSA 20-Li A1  mașină de tăiat rotativă fără fir ( baterie + incarcator) </t>
  </si>
  <si>
    <t>Camera de inspectie Parkside</t>
  </si>
  <si>
    <t>Bomfaier cadru metalic 300 mm</t>
  </si>
  <si>
    <t>ELT 522</t>
  </si>
  <si>
    <t>ELT 523</t>
  </si>
  <si>
    <t>ELT 524</t>
  </si>
  <si>
    <t>ELT 525</t>
  </si>
  <si>
    <t>ELT 526</t>
  </si>
  <si>
    <t>ELT 527</t>
  </si>
  <si>
    <t>ELT 528</t>
  </si>
  <si>
    <t>ELT 529</t>
  </si>
  <si>
    <t>ELT 530</t>
  </si>
  <si>
    <t>ELT 531</t>
  </si>
  <si>
    <t>ELT 532</t>
  </si>
  <si>
    <t>ELT 533</t>
  </si>
  <si>
    <t>ELT 534</t>
  </si>
  <si>
    <t>ELT 535</t>
  </si>
  <si>
    <t>ELT 536</t>
  </si>
  <si>
    <t>ELT 537</t>
  </si>
  <si>
    <t>ELT 538</t>
  </si>
  <si>
    <t>ELT 539</t>
  </si>
  <si>
    <t>ELT 540</t>
  </si>
  <si>
    <t>ELT 541</t>
  </si>
  <si>
    <t>ELT 542</t>
  </si>
  <si>
    <t>ELT 543</t>
  </si>
  <si>
    <t>ELT 544</t>
  </si>
  <si>
    <t>ELT 545</t>
  </si>
  <si>
    <t xml:space="preserve">Incarcator acumulator bosch 18 V 2A </t>
  </si>
  <si>
    <t xml:space="preserve">Flex pe fir GWS 7-125 3601 C88 109 SN 5233939856  03/2025 </t>
  </si>
  <si>
    <t>Ciocan rotopercutor GBH 2-21 3611ba6000 SN 330101438</t>
  </si>
  <si>
    <t>Masina de insurubat cu impact GX 18V-285 3601 JN2 120 SN 525022207/ 05.2025</t>
  </si>
  <si>
    <t xml:space="preserve">Ciocan ropercutor cu acumulator GBH 18V-26  SN 3 611 J09 002 </t>
  </si>
  <si>
    <t>Incarcator 18 V 2A  Bosch</t>
  </si>
  <si>
    <t>Cleste pentru taiat bolturi  ( fier beton etc) 450 mm</t>
  </si>
  <si>
    <t>Fierastru circular manual Bosch GKS 18V-57 3601 FA2 200 SN 128080047 02/2021</t>
  </si>
  <si>
    <t>Incarcator bosch Defect ( cablu taiat scrie defect pe el)</t>
  </si>
  <si>
    <t>Fierastau vertical pendular cu acumulator  3601 EA5 101 SN 22312642 dub 03/2022</t>
  </si>
  <si>
    <t xml:space="preserve">Filetanta Bosch  GSR 185-LI 3601 JK3 SN 328360859 </t>
  </si>
  <si>
    <t xml:space="preserve">Ciocan rotopercutor pe fir Bosch GBH 240- serie deteriorata </t>
  </si>
  <si>
    <t>Trusa cu Cleste hidraulic pentru sertizat conectori cu bacuri</t>
  </si>
  <si>
    <t>Flex mare unghiular Bosch</t>
  </si>
  <si>
    <t>Rola prelungitor 50 m</t>
  </si>
  <si>
    <t>Laser bosch pe baterii</t>
  </si>
  <si>
    <t>Dulap organizator mare cu 5 sertare</t>
  </si>
  <si>
    <t>Cutter hidraulic ( presa hidraulica pentru gauri 22-60 mm) YATO</t>
  </si>
  <si>
    <t>Set burghie Erbauer  1mm-13 mm - incomplet</t>
  </si>
  <si>
    <t>Set biti insurubare bosch Profesional extra hard 43 de piese Pick+click</t>
  </si>
  <si>
    <t xml:space="preserve">Cutie organizatoare modulara - 2 </t>
  </si>
  <si>
    <t>Set 12 surubelnite Dexter</t>
  </si>
  <si>
    <t>Set - 5 tubulare 10-16</t>
  </si>
  <si>
    <t>Cheie de 19 fixa</t>
  </si>
  <si>
    <t>Cater Dexter</t>
  </si>
  <si>
    <t>ELT 537.1</t>
  </si>
  <si>
    <t>ELT 537.2</t>
  </si>
  <si>
    <t>ELT 537.3</t>
  </si>
  <si>
    <t>ELT 537.4</t>
  </si>
  <si>
    <t>ELT 537.5</t>
  </si>
  <si>
    <t>ELT 537.6</t>
  </si>
  <si>
    <t>ELT 537.7</t>
  </si>
  <si>
    <t>ELT 537.8</t>
  </si>
  <si>
    <t>ELT 537.9</t>
  </si>
  <si>
    <t>Claudiu Martin</t>
  </si>
  <si>
    <t xml:space="preserve"> echipare Claudiu Martin</t>
  </si>
  <si>
    <t>Trusa  set tubulare si chei completa</t>
  </si>
  <si>
    <t xml:space="preserve">CT 12 RLO </t>
  </si>
  <si>
    <t>10 zile</t>
  </si>
  <si>
    <t>RO/07/R7/YD  /  124885507</t>
  </si>
  <si>
    <t>Allianz - Țiriac Asigurări SA</t>
  </si>
  <si>
    <t>N1</t>
  </si>
  <si>
    <t>Electric Construct Concept SRL</t>
  </si>
  <si>
    <t>BA02 obloane rabatabile</t>
  </si>
  <si>
    <t>VF1UDCCK522702177</t>
  </si>
  <si>
    <t>B1RE1B1712K96R2/2000</t>
  </si>
  <si>
    <t>29.08.2025 - Sat Săveni</t>
  </si>
  <si>
    <t>Murgut Ionut</t>
  </si>
  <si>
    <t>235/29.08.2025</t>
  </si>
  <si>
    <t>Autoutilitara N1</t>
  </si>
  <si>
    <t>Alb Gri</t>
  </si>
  <si>
    <t>Renault Master</t>
  </si>
  <si>
    <t>IL 84 MRG</t>
  </si>
  <si>
    <t>LLMTCB4057L121436</t>
  </si>
  <si>
    <t>L12R161111C97K1 /2007</t>
  </si>
  <si>
    <t>Negru</t>
  </si>
  <si>
    <t>Motociclu L1e / Lingben</t>
  </si>
  <si>
    <t>12 luni</t>
  </si>
  <si>
    <t>ELT Engineering Solutions SRL</t>
  </si>
  <si>
    <t>VF3YCBMFC11433727</t>
  </si>
  <si>
    <t>02.09.2025 - Constanta</t>
  </si>
  <si>
    <t>Rotariu Georgeta</t>
  </si>
  <si>
    <t>22270 / 05.09.2025</t>
  </si>
  <si>
    <t>Peugeot Boxer</t>
  </si>
  <si>
    <t>CT  12 SGL</t>
  </si>
  <si>
    <t>Omniasig Vienna Insurance SA</t>
  </si>
  <si>
    <t>M1</t>
  </si>
  <si>
    <t>Electric Land Total SRL</t>
  </si>
  <si>
    <t>AC Break</t>
  </si>
  <si>
    <t>VF1RHN0057311101</t>
  </si>
  <si>
    <t>e9*2018/858*30002*13  /  ACRE5X010G504E6</t>
  </si>
  <si>
    <t>Autoturism M1</t>
  </si>
  <si>
    <t>Gri</t>
  </si>
  <si>
    <t>Renault Austral</t>
  </si>
  <si>
    <t>B 192 BAG</t>
  </si>
  <si>
    <t>Dobrică Piperus Leonard</t>
  </si>
  <si>
    <t>17.04.2024 - Constanta</t>
  </si>
  <si>
    <t>Cumpărător Dobrică Piperus Leonard</t>
  </si>
  <si>
    <t>VANDUT  17.04.2024</t>
  </si>
  <si>
    <t xml:space="preserve"> INSTRĂINAT</t>
  </si>
  <si>
    <t>RO/31/N31/JT   /  53737429844</t>
  </si>
  <si>
    <t xml:space="preserve">Axeria Iard </t>
  </si>
  <si>
    <t>-</t>
  </si>
  <si>
    <t>AA Berlină</t>
  </si>
  <si>
    <t>WVWZZZ3CZ7E161168</t>
  </si>
  <si>
    <t>AA11131H11U36E4/2007</t>
  </si>
  <si>
    <t>Văcăreanu Vasile Robert</t>
  </si>
  <si>
    <t>8082/18.04.2024</t>
  </si>
  <si>
    <t>Volkswagen Passat</t>
  </si>
  <si>
    <t>AB Berlină cu hayon</t>
  </si>
  <si>
    <t>UU1DJF01971812037</t>
  </si>
  <si>
    <t>e19*2007/46*0026*23 / ABDA1J4107404E6</t>
  </si>
  <si>
    <t>Maro</t>
  </si>
  <si>
    <t>Dacia Duster</t>
  </si>
  <si>
    <t>B 305 COV</t>
  </si>
  <si>
    <t>RO/01/TO/XZ   /  012781971</t>
  </si>
  <si>
    <t>Asirom Viena Insurance Group SA</t>
  </si>
  <si>
    <t>Autotests Profesional SRL</t>
  </si>
  <si>
    <t>Bun Tehnic</t>
  </si>
  <si>
    <t>Gontariu Bogdan Leonard</t>
  </si>
  <si>
    <t>BB Furgon</t>
  </si>
  <si>
    <t>VF1FLFCA66V279235</t>
  </si>
  <si>
    <t>BFRE1J1X12JA8E3</t>
  </si>
  <si>
    <t>10.08.2022 - Constanta</t>
  </si>
  <si>
    <t>Răducanu Cristina Gabriela</t>
  </si>
  <si>
    <t>Autoutilitare N1</t>
  </si>
  <si>
    <t>Alb</t>
  </si>
  <si>
    <t>Renault Traffic</t>
  </si>
  <si>
    <t xml:space="preserve">CT 60 BAG </t>
  </si>
  <si>
    <t>RO/26/J26/JA   /  095412191</t>
  </si>
  <si>
    <t>Grawe Romania Asigurare SA</t>
  </si>
  <si>
    <t>UU1KSD0F539059808</t>
  </si>
  <si>
    <t>e2*2001/116*0314*08 / ACDA1G2911CC8E4</t>
  </si>
  <si>
    <t>16.07.2024 - Constanta</t>
  </si>
  <si>
    <t>Volintiru Alexandru Mihai</t>
  </si>
  <si>
    <t>Roșu</t>
  </si>
  <si>
    <t>Dacia Logan</t>
  </si>
  <si>
    <t>CT 42 BAG</t>
  </si>
  <si>
    <t>RO/07/R7/YD  /  125323967</t>
  </si>
  <si>
    <t>UU1KSDEKJ37764461</t>
  </si>
  <si>
    <t>E2*2001/ 116*0314*13 / ACDA1G2711CA8E4</t>
  </si>
  <si>
    <t xml:space="preserve">Gagiu Felicia </t>
  </si>
  <si>
    <t>47721 / 17.07.2024</t>
  </si>
  <si>
    <t>Albastru</t>
  </si>
  <si>
    <t>CT 41 BAG</t>
  </si>
  <si>
    <t>RO/07/R7/YD  /  125323867</t>
  </si>
  <si>
    <t>UU1DBG001NU075244</t>
  </si>
  <si>
    <t>e9*2018/858*11001*04</t>
  </si>
  <si>
    <t>F.F. KIBP7 / 15.07.2024</t>
  </si>
  <si>
    <t>19.07.2024 - Constanta</t>
  </si>
  <si>
    <t>KIBO Patiserie SRL</t>
  </si>
  <si>
    <t>25517 / 19.07.2024</t>
  </si>
  <si>
    <t>Dacia Spring</t>
  </si>
  <si>
    <t>CT 38 BAG</t>
  </si>
  <si>
    <t>RO/26/J26/JA   /  095143742</t>
  </si>
  <si>
    <t>UU10SDCH554318138</t>
  </si>
  <si>
    <t>ACDA1GAC11W95E6</t>
  </si>
  <si>
    <t>30.05.2024 - Constanta</t>
  </si>
  <si>
    <t xml:space="preserve">Călin Mihaela </t>
  </si>
  <si>
    <t>2645 / 24.05.2024</t>
  </si>
  <si>
    <t xml:space="preserve">Dacia Dokker </t>
  </si>
  <si>
    <t>CT 37 BAG</t>
  </si>
  <si>
    <t>RO/01/TO/XZ   /  012538986</t>
  </si>
  <si>
    <t xml:space="preserve"> N1</t>
  </si>
  <si>
    <t>WV1ZZZ7HZ4H007851</t>
  </si>
  <si>
    <t>06.10.2021 - Buzau</t>
  </si>
  <si>
    <t xml:space="preserve">Păunescu Gabriela </t>
  </si>
  <si>
    <t>19240/ 08.10.2021</t>
  </si>
  <si>
    <t xml:space="preserve">Volkswagen </t>
  </si>
  <si>
    <t>CT 36 BAG</t>
  </si>
  <si>
    <t>RO/07/R7/YD  /  125912885</t>
  </si>
  <si>
    <t>UU1JSDDL550793130</t>
  </si>
  <si>
    <t>e2*2001/116*0314*69  / ACDA1G5A12CC7E5</t>
  </si>
  <si>
    <t>17.01.2024 - Bucuresti</t>
  </si>
  <si>
    <t xml:space="preserve">Mihai Gheorghe </t>
  </si>
  <si>
    <t>Dacia Lodgy</t>
  </si>
  <si>
    <t>CT 35 BAG</t>
  </si>
  <si>
    <t>Asirom Vig SA</t>
  </si>
  <si>
    <t>VF77J9HZCAJ692144</t>
  </si>
  <si>
    <t>AC173G1N12C41E4 / 2010</t>
  </si>
  <si>
    <t>F.Prof. INT0001/ 24.01.2024</t>
  </si>
  <si>
    <t>FWD Transport SRL</t>
  </si>
  <si>
    <t xml:space="preserve">Citroen Berlingo </t>
  </si>
  <si>
    <t>CT 34 BAG</t>
  </si>
  <si>
    <t xml:space="preserve">Data expirare </t>
  </si>
  <si>
    <t>Data incepere</t>
  </si>
  <si>
    <t xml:space="preserve">Perioadă valabilitate </t>
  </si>
  <si>
    <t>Serie Rovinietă</t>
  </si>
  <si>
    <t xml:space="preserve">Valabiliate RCA                  de la ....pana la data </t>
  </si>
  <si>
    <t>Seria / nr.</t>
  </si>
  <si>
    <t>Broker de Asigurare</t>
  </si>
  <si>
    <t>Statia de ITP</t>
  </si>
  <si>
    <t>Rezultat inspectie</t>
  </si>
  <si>
    <t>Categorie vehicul</t>
  </si>
  <si>
    <t>Data efectuare  ITP</t>
  </si>
  <si>
    <t>Data dobandirii Auto</t>
  </si>
  <si>
    <t>Proprietar Auto</t>
  </si>
  <si>
    <t>An fabricatie Auto</t>
  </si>
  <si>
    <t>Caroserie</t>
  </si>
  <si>
    <t>Cilindree      (cm 3)</t>
  </si>
  <si>
    <t>Nr.identificare /                 serie șasiu</t>
  </si>
  <si>
    <t>Nr.omologare /                          An fabricatie</t>
  </si>
  <si>
    <t xml:space="preserve">Achizitionat cu Factura </t>
  </si>
  <si>
    <t xml:space="preserve">Data si locul incheierii Contractului </t>
  </si>
  <si>
    <t xml:space="preserve">Cumpărat de la </t>
  </si>
  <si>
    <t>Contract                     nr. / data</t>
  </si>
  <si>
    <t>Categorie Auto</t>
  </si>
  <si>
    <t>Culoare Auto</t>
  </si>
  <si>
    <t>Marcă Auto</t>
  </si>
  <si>
    <t>Rovinietă</t>
  </si>
  <si>
    <t>RCA</t>
  </si>
  <si>
    <t>ITP Auto</t>
  </si>
  <si>
    <t>Talon Auto</t>
  </si>
  <si>
    <t>Carte Tehnică Auto</t>
  </si>
  <si>
    <t>Contract de Instrăinare - Dobandire Auto</t>
  </si>
  <si>
    <t>Date Auto</t>
  </si>
  <si>
    <t>Nr. Auto</t>
  </si>
  <si>
    <t>Nr.  crt.</t>
  </si>
  <si>
    <t>ELECTRIC CONSTUCT CONCEPT SRL ȘI ELECTRIC LAND TOTAL SRL</t>
  </si>
  <si>
    <t xml:space="preserve">EVIDENȚĂ FLOTA AUTO DIN PATRIMONIUL </t>
  </si>
  <si>
    <t>Birou</t>
  </si>
  <si>
    <t xml:space="preserve">Alba </t>
  </si>
  <si>
    <t>E2*2007/46*0030*34</t>
  </si>
  <si>
    <t>UU18SDN4453706545</t>
  </si>
  <si>
    <t>CT 57 GMR</t>
  </si>
  <si>
    <t>Ciocan Demolator Erbauer 1750 W</t>
  </si>
  <si>
    <t>TL 07 MRY</t>
  </si>
  <si>
    <t>BMW X1</t>
  </si>
  <si>
    <t>Autoutilitara M1</t>
  </si>
  <si>
    <t>E1*2007/46*0275*06</t>
  </si>
  <si>
    <t>WBAVP310X0VP14736</t>
  </si>
  <si>
    <t xml:space="preserve">HatchBack </t>
  </si>
  <si>
    <t>SV 01 BHR</t>
  </si>
  <si>
    <t>Nissan Pathfinder</t>
  </si>
  <si>
    <t>e9*2001/116*0051*00</t>
  </si>
  <si>
    <t>VSKJVWR51U0018726</t>
  </si>
  <si>
    <t>Aparat pneumatic de taiat tabla Parkside</t>
  </si>
  <si>
    <t xml:space="preserve">Aparat de departat vopseaua </t>
  </si>
  <si>
    <t>Pistol de sablat ParkSide</t>
  </si>
  <si>
    <t>Filetanta Parkside( fara acumulator,incarcator)</t>
  </si>
  <si>
    <t>Santier Atlasib</t>
  </si>
  <si>
    <t xml:space="preserve">Santier Ice </t>
  </si>
  <si>
    <t xml:space="preserve">Filetanta cu impact Parkside </t>
  </si>
  <si>
    <t>fabrica de gheata</t>
  </si>
  <si>
    <t>Defecta - de casat</t>
  </si>
  <si>
    <t>Hala Atlassib - Claudiu Martin</t>
  </si>
  <si>
    <t>Atlasib</t>
  </si>
  <si>
    <t>Furgon</t>
  </si>
  <si>
    <t>ELT 519.1</t>
  </si>
  <si>
    <t>ELT 519.2</t>
  </si>
  <si>
    <t>Incarcator Bosch</t>
  </si>
  <si>
    <t xml:space="preserve">Acumulator Bosch </t>
  </si>
  <si>
    <t>Ciocan demolator Erbauer SN 21W1600408- defect</t>
  </si>
  <si>
    <t>ANdy</t>
  </si>
  <si>
    <t>CT 16 DRH</t>
  </si>
  <si>
    <t xml:space="preserve">Volskwaggen Transporter </t>
  </si>
  <si>
    <t>Galben</t>
  </si>
  <si>
    <t>e1*2001*116^0220*01</t>
  </si>
  <si>
    <t>WV2ZZZ7HZ4X009983</t>
  </si>
  <si>
    <t>Andy - 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</si>
</sst>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0"/>
      <name val="Calibri"/>
      <family val="2"/>
      <scheme val="minor"/>
    </font>
    <font>
      <b/>
      <sz val="11"/>
      <color theme="1"/>
      <name val="Calibri"/>
      <family val="2"/>
      <scheme val="minor"/>
    </font>
    <font>
      <sz val="8"/>
      <name val="Calibri"/>
      <family val="2"/>
      <scheme val="minor"/>
    </font>
    <font>
      <b/>
      <sz val="11"/>
      <color theme="1"/>
      <name val="Calibri"/>
      <scheme val="minor"/>
    </font>
    <font>
      <sz val="10"/>
      <color theme="1"/>
      <name val="Calibri"/>
      <family val="2"/>
      <scheme val="minor"/>
    </font>
    <font>
      <b/>
      <sz val="10"/>
      <color theme="1"/>
      <name val="Calibri"/>
      <family val="2"/>
      <charset val="238"/>
      <scheme val="minor"/>
    </font>
    <font>
      <sz val="9"/>
      <color theme="1"/>
      <name val="Calibri"/>
      <family val="2"/>
      <scheme val="minor"/>
    </font>
    <font>
      <b/>
      <i/>
      <sz val="10"/>
      <color theme="1"/>
      <name val="Calibri"/>
      <family val="2"/>
      <charset val="238"/>
      <scheme val="minor"/>
    </font>
    <font>
      <b/>
      <sz val="10"/>
      <color theme="1"/>
      <name val="Calibri"/>
      <family val="2"/>
      <scheme val="minor"/>
    </font>
    <font>
      <b/>
      <i/>
      <sz val="10"/>
      <color theme="1"/>
      <name val="Calibri"/>
      <family val="2"/>
      <scheme val="minor"/>
    </font>
    <font>
      <b/>
      <i/>
      <sz val="11"/>
      <color theme="1"/>
      <name val="Calibri"/>
      <family val="2"/>
      <scheme val="minor"/>
    </font>
    <font>
      <b/>
      <i/>
      <sz val="16"/>
      <color theme="1"/>
      <name val="Calibri"/>
      <family val="2"/>
      <charset val="238"/>
      <scheme val="minor"/>
    </font>
    <font>
      <b/>
      <i/>
      <sz val="12"/>
      <color theme="1"/>
      <name val="Calibri"/>
      <family val="2"/>
      <charset val="238"/>
      <scheme val="minor"/>
    </font>
    <font>
      <b/>
      <i/>
      <sz val="14"/>
      <color theme="1"/>
      <name val="Calibri"/>
      <family val="2"/>
      <charset val="238"/>
      <scheme val="minor"/>
    </font>
  </fonts>
  <fills count="20">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5"/>
        <bgColor indexed="64"/>
      </patternFill>
    </fill>
    <fill>
      <patternFill patternType="solid">
        <fgColor theme="9"/>
        <bgColor indexed="64"/>
      </patternFill>
    </fill>
    <fill>
      <patternFill patternType="solid">
        <fgColor theme="8"/>
        <bgColor theme="8"/>
      </patternFill>
    </fill>
    <fill>
      <patternFill patternType="solid">
        <fgColor rgb="FFFFFF00"/>
        <bgColor indexed="64"/>
      </patternFill>
    </fill>
    <fill>
      <patternFill patternType="solid">
        <fgColor theme="4"/>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3" tint="0.39997558519241921"/>
        <bgColor indexed="64"/>
      </patternFill>
    </fill>
    <fill>
      <patternFill patternType="solid">
        <fgColor theme="4" tint="-0.249977111117893"/>
        <bgColor indexed="64"/>
      </patternFill>
    </fill>
    <fill>
      <patternFill patternType="solid">
        <fgColor theme="9" tint="-0.249977111117893"/>
        <bgColor indexed="64"/>
      </patternFill>
    </fill>
    <fill>
      <patternFill patternType="solid">
        <fgColor theme="0"/>
        <bgColor indexed="64"/>
      </patternFill>
    </fill>
    <fill>
      <patternFill patternType="solid">
        <fgColor theme="5" tint="-0.249977111117893"/>
        <bgColor indexed="64"/>
      </patternFill>
    </fill>
    <fill>
      <patternFill patternType="solid">
        <fgColor theme="5" tint="0.79998168889431442"/>
        <bgColor indexed="64"/>
      </patternFill>
    </fill>
    <fill>
      <patternFill patternType="solid">
        <fgColor rgb="FFC00000"/>
        <bgColor indexed="64"/>
      </patternFill>
    </fill>
  </fills>
  <borders count="45">
    <border>
      <left/>
      <right/>
      <top/>
      <bottom/>
      <diagonal/>
    </border>
    <border>
      <left style="thin">
        <color auto="1"/>
      </left>
      <right style="thin">
        <color auto="1"/>
      </right>
      <top style="thin">
        <color auto="1"/>
      </top>
      <bottom style="thin">
        <color auto="1"/>
      </bottom>
      <diagonal/>
    </border>
    <border>
      <left style="thin">
        <color indexed="64"/>
      </left>
      <right/>
      <top style="thin">
        <color auto="1"/>
      </top>
      <bottom/>
      <diagonal/>
    </border>
    <border>
      <left/>
      <right style="thin">
        <color indexed="64"/>
      </right>
      <top style="thin">
        <color auto="1"/>
      </top>
      <bottom/>
      <diagonal/>
    </border>
    <border>
      <left style="thin">
        <color indexed="64"/>
      </left>
      <right/>
      <top/>
      <bottom/>
      <diagonal/>
    </border>
    <border>
      <left/>
      <right style="thin">
        <color indexed="64"/>
      </right>
      <top/>
      <bottom/>
      <diagonal/>
    </border>
    <border>
      <left style="thin">
        <color indexed="64"/>
      </left>
      <right/>
      <top/>
      <bottom style="thin">
        <color auto="1"/>
      </bottom>
      <diagonal/>
    </border>
    <border>
      <left style="thin">
        <color auto="1"/>
      </left>
      <right style="thin">
        <color auto="1"/>
      </right>
      <top/>
      <bottom style="thin">
        <color auto="1"/>
      </bottom>
      <diagonal/>
    </border>
    <border>
      <left/>
      <right/>
      <top/>
      <bottom style="thin">
        <color auto="1"/>
      </bottom>
      <diagonal/>
    </border>
    <border>
      <left/>
      <right/>
      <top style="thin">
        <color auto="1"/>
      </top>
      <bottom/>
      <diagonal/>
    </border>
    <border>
      <left/>
      <right style="thin">
        <color auto="1"/>
      </right>
      <top/>
      <bottom style="thin">
        <color auto="1"/>
      </bottom>
      <diagonal/>
    </border>
    <border>
      <left style="thin">
        <color auto="1"/>
      </left>
      <right style="thin">
        <color auto="1"/>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right/>
      <top style="thin">
        <color auto="1"/>
      </top>
      <bottom style="thin">
        <color auto="1"/>
      </bottom>
      <diagonal/>
    </border>
    <border>
      <left style="thin">
        <color auto="1"/>
      </left>
      <right style="thin">
        <color auto="1"/>
      </right>
      <top style="thin">
        <color auto="1"/>
      </top>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diagonal/>
    </border>
    <border>
      <left style="medium">
        <color indexed="64"/>
      </left>
      <right/>
      <top style="medium">
        <color indexed="64"/>
      </top>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diagonal/>
    </border>
  </borders>
  <cellStyleXfs count="1">
    <xf numFmtId="0" fontId="0" fillId="0" borderId="0"/>
  </cellStyleXfs>
  <cellXfs count="187">
    <xf numFmtId="0" fontId="0" fillId="0" borderId="0" xfId="0"/>
    <xf numFmtId="0" fontId="0" fillId="0" borderId="0" xfId="0" applyAlignment="1">
      <alignment horizontal="center" vertical="center"/>
    </xf>
    <xf numFmtId="0" fontId="2" fillId="4" borderId="1" xfId="0" applyFont="1" applyFill="1" applyBorder="1" applyAlignment="1">
      <alignment horizontal="center" vertic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2" fillId="5" borderId="1" xfId="0" applyFont="1" applyFill="1" applyBorder="1" applyAlignment="1">
      <alignment horizontal="centerContinuous" vertical="center"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7" borderId="0" xfId="0" applyFont="1" applyFill="1" applyAlignment="1">
      <alignment horizontal="centerContinuous" vertical="center" wrapText="1"/>
    </xf>
    <xf numFmtId="4" fontId="2" fillId="4" borderId="1"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0" fontId="2" fillId="0" borderId="0" xfId="0" applyFont="1" applyAlignment="1">
      <alignment horizontal="center" vertical="center"/>
    </xf>
    <xf numFmtId="0" fontId="1" fillId="8" borderId="0" xfId="0" applyFont="1" applyFill="1" applyAlignment="1">
      <alignment horizontal="center" vertical="center" wrapText="1"/>
    </xf>
    <xf numFmtId="0" fontId="0" fillId="0" borderId="9" xfId="0" applyBorder="1"/>
    <xf numFmtId="0" fontId="0" fillId="0" borderId="8" xfId="0" applyBorder="1"/>
    <xf numFmtId="0" fontId="0" fillId="0" borderId="10" xfId="0" applyBorder="1"/>
    <xf numFmtId="0" fontId="0" fillId="0" borderId="0" xfId="0" applyAlignment="1">
      <alignment wrapText="1"/>
    </xf>
    <xf numFmtId="0" fontId="0" fillId="0" borderId="1" xfId="0" applyBorder="1"/>
    <xf numFmtId="0" fontId="0" fillId="0" borderId="1" xfId="0" applyBorder="1" applyAlignment="1">
      <alignment horizontal="center" vertical="center"/>
    </xf>
    <xf numFmtId="0" fontId="2" fillId="0" borderId="1" xfId="0" applyFont="1" applyBorder="1" applyAlignment="1">
      <alignment horizontal="center" vertical="center"/>
    </xf>
    <xf numFmtId="0" fontId="0" fillId="0" borderId="15" xfId="0" applyBorder="1"/>
    <xf numFmtId="0" fontId="0" fillId="10" borderId="12" xfId="0" applyFill="1" applyBorder="1"/>
    <xf numFmtId="49" fontId="0" fillId="10" borderId="13" xfId="0" applyNumberFormat="1" applyFill="1" applyBorder="1"/>
    <xf numFmtId="49" fontId="0" fillId="10" borderId="14" xfId="0" applyNumberFormat="1" applyFill="1" applyBorder="1"/>
    <xf numFmtId="0" fontId="0" fillId="11" borderId="0" xfId="0" applyFill="1"/>
    <xf numFmtId="0" fontId="0" fillId="12" borderId="12" xfId="0" applyFill="1" applyBorder="1"/>
    <xf numFmtId="0" fontId="0" fillId="12" borderId="13" xfId="0" applyFill="1" applyBorder="1"/>
    <xf numFmtId="0" fontId="0" fillId="12" borderId="14" xfId="0" applyFill="1" applyBorder="1"/>
    <xf numFmtId="0" fontId="0" fillId="3" borderId="1" xfId="0" applyFill="1" applyBorder="1"/>
    <xf numFmtId="0" fontId="0" fillId="13" borderId="1" xfId="0" applyFill="1" applyBorder="1"/>
    <xf numFmtId="14" fontId="0" fillId="0" borderId="0" xfId="0" applyNumberFormat="1"/>
    <xf numFmtId="0" fontId="0" fillId="14" borderId="0" xfId="0" applyFill="1"/>
    <xf numFmtId="0" fontId="0" fillId="15" borderId="0" xfId="0" applyFill="1"/>
    <xf numFmtId="0" fontId="1" fillId="8" borderId="11" xfId="0" applyFont="1" applyFill="1" applyBorder="1" applyAlignment="1">
      <alignment vertical="center" wrapText="1"/>
    </xf>
    <xf numFmtId="0" fontId="1" fillId="8" borderId="11" xfId="0" applyFont="1" applyFill="1" applyBorder="1" applyAlignment="1">
      <alignment horizontal="center" vertical="center" wrapText="1"/>
    </xf>
    <xf numFmtId="0" fontId="1" fillId="6" borderId="11" xfId="0" applyFont="1" applyFill="1" applyBorder="1" applyAlignment="1">
      <alignment horizontal="center" vertical="center" wrapText="1"/>
    </xf>
    <xf numFmtId="0" fontId="1" fillId="6" borderId="0" xfId="0" applyFont="1" applyFill="1" applyAlignment="1">
      <alignment horizontal="center" vertical="center" wrapText="1"/>
    </xf>
    <xf numFmtId="0" fontId="0" fillId="6" borderId="0" xfId="0" applyFill="1" applyAlignment="1">
      <alignment horizontal="center" vertical="center" wrapText="1"/>
    </xf>
    <xf numFmtId="0" fontId="0" fillId="0" borderId="8" xfId="0" applyBorder="1" applyAlignment="1">
      <alignment vertical="top" wrapText="1"/>
    </xf>
    <xf numFmtId="0" fontId="1" fillId="8" borderId="0" xfId="0" applyFont="1" applyFill="1" applyAlignment="1">
      <alignment vertical="center" wrapText="1"/>
    </xf>
    <xf numFmtId="0" fontId="0" fillId="9" borderId="0" xfId="0" applyFill="1"/>
    <xf numFmtId="0" fontId="0" fillId="16" borderId="12" xfId="0" applyFill="1" applyBorder="1"/>
    <xf numFmtId="0" fontId="0" fillId="16" borderId="13" xfId="0" applyFill="1" applyBorder="1"/>
    <xf numFmtId="0" fontId="0" fillId="16" borderId="14" xfId="0" applyFill="1" applyBorder="1"/>
    <xf numFmtId="0" fontId="0" fillId="16" borderId="0" xfId="0" applyFill="1"/>
    <xf numFmtId="0" fontId="0" fillId="16" borderId="16" xfId="0" applyFill="1" applyBorder="1"/>
    <xf numFmtId="0" fontId="4" fillId="0" borderId="0" xfId="0" applyFont="1" applyAlignment="1">
      <alignment horizontal="center" vertical="center"/>
    </xf>
    <xf numFmtId="0" fontId="5" fillId="0" borderId="0" xfId="0" applyFont="1"/>
    <xf numFmtId="0" fontId="5" fillId="0" borderId="0" xfId="0" applyFont="1" applyAlignment="1">
      <alignment vertical="center"/>
    </xf>
    <xf numFmtId="14" fontId="6" fillId="17" borderId="1" xfId="0" applyNumberFormat="1" applyFont="1" applyFill="1" applyBorder="1" applyAlignment="1">
      <alignment horizontal="center" vertical="center"/>
    </xf>
    <xf numFmtId="14" fontId="7" fillId="0" borderId="19" xfId="0" applyNumberFormat="1" applyFont="1" applyBorder="1" applyAlignment="1">
      <alignment horizontal="center" vertical="center"/>
    </xf>
    <xf numFmtId="0" fontId="5" fillId="0" borderId="1" xfId="0" applyFont="1" applyBorder="1" applyAlignment="1">
      <alignment horizontal="center" vertical="center"/>
    </xf>
    <xf numFmtId="1" fontId="5" fillId="0" borderId="19" xfId="0" applyNumberFormat="1" applyFont="1" applyBorder="1" applyAlignment="1">
      <alignment horizontal="center" vertical="center"/>
    </xf>
    <xf numFmtId="14" fontId="5" fillId="9" borderId="20" xfId="0" applyNumberFormat="1" applyFont="1" applyFill="1" applyBorder="1" applyAlignment="1">
      <alignment vertical="center"/>
    </xf>
    <xf numFmtId="14" fontId="5" fillId="0" borderId="21" xfId="0" applyNumberFormat="1" applyFont="1" applyBorder="1" applyAlignment="1">
      <alignment vertical="center"/>
    </xf>
    <xf numFmtId="0" fontId="5" fillId="0" borderId="21" xfId="0" applyFont="1" applyBorder="1" applyAlignment="1">
      <alignment horizontal="center" vertical="center" wrapText="1"/>
    </xf>
    <xf numFmtId="0" fontId="5" fillId="0" borderId="21" xfId="0" applyFont="1" applyBorder="1" applyAlignment="1">
      <alignment vertical="center"/>
    </xf>
    <xf numFmtId="0" fontId="5" fillId="0" borderId="21" xfId="0" applyFont="1" applyBorder="1" applyAlignment="1">
      <alignment horizontal="center" vertical="center"/>
    </xf>
    <xf numFmtId="14" fontId="5" fillId="0" borderId="21" xfId="0" applyNumberFormat="1" applyFont="1" applyBorder="1" applyAlignment="1">
      <alignment horizontal="center" vertical="center"/>
    </xf>
    <xf numFmtId="0" fontId="5" fillId="0" borderId="20" xfId="0" applyFont="1" applyBorder="1" applyAlignment="1">
      <alignment horizontal="center" vertical="center"/>
    </xf>
    <xf numFmtId="0" fontId="5" fillId="0" borderId="20" xfId="0" applyFont="1" applyBorder="1" applyAlignment="1">
      <alignment horizontal="center" vertical="center" wrapText="1"/>
    </xf>
    <xf numFmtId="0" fontId="6" fillId="0" borderId="21" xfId="0" applyFont="1" applyBorder="1" applyAlignment="1">
      <alignment horizontal="center" vertical="center"/>
    </xf>
    <xf numFmtId="0" fontId="5" fillId="0" borderId="22" xfId="0" applyFont="1" applyBorder="1" applyAlignment="1">
      <alignment horizontal="center" vertical="center"/>
    </xf>
    <xf numFmtId="0" fontId="5" fillId="0" borderId="1" xfId="0" applyFont="1" applyBorder="1" applyAlignment="1">
      <alignment vertical="center"/>
    </xf>
    <xf numFmtId="0" fontId="7" fillId="0" borderId="19" xfId="0" applyFont="1" applyBorder="1" applyAlignment="1">
      <alignment vertical="center"/>
    </xf>
    <xf numFmtId="0" fontId="5" fillId="0" borderId="19" xfId="0" applyFont="1" applyBorder="1" applyAlignment="1">
      <alignment horizontal="center" vertical="center"/>
    </xf>
    <xf numFmtId="0" fontId="5" fillId="0" borderId="1" xfId="0" applyFont="1" applyBorder="1" applyAlignment="1">
      <alignment horizontal="center" vertical="center" wrapText="1"/>
    </xf>
    <xf numFmtId="0" fontId="5" fillId="0" borderId="23" xfId="0" applyFont="1" applyBorder="1" applyAlignment="1">
      <alignment horizontal="center" vertical="center"/>
    </xf>
    <xf numFmtId="14" fontId="5" fillId="0" borderId="1" xfId="0" applyNumberFormat="1" applyFont="1" applyBorder="1"/>
    <xf numFmtId="14" fontId="7" fillId="0" borderId="19" xfId="0" applyNumberFormat="1" applyFont="1" applyBorder="1"/>
    <xf numFmtId="0" fontId="5" fillId="0" borderId="1" xfId="0" applyFont="1" applyBorder="1" applyAlignment="1">
      <alignment horizontal="center"/>
    </xf>
    <xf numFmtId="1" fontId="5" fillId="0" borderId="19" xfId="0" applyNumberFormat="1" applyFont="1" applyBorder="1" applyAlignment="1">
      <alignment horizontal="center"/>
    </xf>
    <xf numFmtId="14" fontId="5" fillId="0" borderId="1" xfId="0" applyNumberFormat="1" applyFont="1" applyBorder="1" applyAlignment="1">
      <alignment horizontal="center"/>
    </xf>
    <xf numFmtId="0" fontId="5" fillId="0" borderId="1" xfId="0" applyFont="1" applyBorder="1"/>
    <xf numFmtId="0" fontId="5" fillId="0" borderId="19" xfId="0" applyFont="1" applyBorder="1" applyAlignment="1">
      <alignment horizontal="center"/>
    </xf>
    <xf numFmtId="0" fontId="9" fillId="0" borderId="1" xfId="0" applyFont="1" applyBorder="1" applyAlignment="1">
      <alignment horizontal="center"/>
    </xf>
    <xf numFmtId="0" fontId="5" fillId="0" borderId="23" xfId="0" applyFont="1" applyBorder="1" applyAlignment="1">
      <alignment horizontal="center"/>
    </xf>
    <xf numFmtId="14" fontId="5" fillId="0" borderId="6" xfId="0" applyNumberFormat="1" applyFont="1" applyBorder="1" applyAlignment="1">
      <alignment horizontal="center" vertical="center"/>
    </xf>
    <xf numFmtId="14" fontId="5" fillId="0" borderId="7" xfId="0" applyNumberFormat="1" applyFont="1" applyBorder="1" applyAlignment="1">
      <alignment horizontal="center" vertical="center"/>
    </xf>
    <xf numFmtId="0" fontId="5" fillId="0" borderId="7" xfId="0" applyFont="1" applyBorder="1" applyAlignment="1">
      <alignment horizontal="center" vertical="center"/>
    </xf>
    <xf numFmtId="0" fontId="5" fillId="0" borderId="18" xfId="0" applyFont="1" applyBorder="1" applyAlignment="1">
      <alignment horizontal="center" vertical="center" wrapText="1"/>
    </xf>
    <xf numFmtId="0" fontId="5" fillId="0" borderId="7" xfId="0" applyFont="1" applyBorder="1" applyAlignment="1">
      <alignment vertical="center"/>
    </xf>
    <xf numFmtId="0" fontId="5" fillId="0" borderId="6" xfId="0" applyFont="1" applyBorder="1" applyAlignment="1">
      <alignment horizontal="center" vertical="center"/>
    </xf>
    <xf numFmtId="0" fontId="5" fillId="0" borderId="7" xfId="0" applyFont="1" applyBorder="1" applyAlignment="1">
      <alignment horizontal="center" vertical="center" wrapText="1"/>
    </xf>
    <xf numFmtId="0" fontId="9" fillId="0" borderId="7" xfId="0" applyFont="1" applyBorder="1" applyAlignment="1">
      <alignment horizontal="center" vertical="center"/>
    </xf>
    <xf numFmtId="0" fontId="5" fillId="0" borderId="25" xfId="0" applyFont="1" applyBorder="1" applyAlignment="1">
      <alignment horizontal="center" vertical="center"/>
    </xf>
    <xf numFmtId="0" fontId="5" fillId="0" borderId="19" xfId="0" applyFont="1" applyBorder="1"/>
    <xf numFmtId="0" fontId="5" fillId="0" borderId="20" xfId="0" applyFont="1" applyBorder="1" applyAlignment="1">
      <alignment horizontal="center"/>
    </xf>
    <xf numFmtId="0" fontId="5" fillId="0" borderId="21" xfId="0" applyFont="1" applyBorder="1" applyAlignment="1">
      <alignment horizontal="center"/>
    </xf>
    <xf numFmtId="0" fontId="10" fillId="18" borderId="21" xfId="0" applyFont="1" applyFill="1" applyBorder="1" applyAlignment="1">
      <alignment horizontal="center" vertical="center"/>
    </xf>
    <xf numFmtId="0" fontId="9" fillId="18" borderId="21" xfId="0" applyFont="1" applyFill="1" applyBorder="1" applyAlignment="1">
      <alignment horizontal="center" vertical="center"/>
    </xf>
    <xf numFmtId="0" fontId="5" fillId="0" borderId="19" xfId="0" applyFont="1" applyBorder="1" applyAlignment="1">
      <alignment vertical="center"/>
    </xf>
    <xf numFmtId="14" fontId="5" fillId="0" borderId="28" xfId="0" applyNumberFormat="1" applyFont="1" applyBorder="1" applyAlignment="1">
      <alignment horizontal="center" vertical="center"/>
    </xf>
    <xf numFmtId="14" fontId="5" fillId="0" borderId="29" xfId="0" applyNumberFormat="1" applyFont="1" applyBorder="1" applyAlignment="1">
      <alignment horizontal="center" vertical="center"/>
    </xf>
    <xf numFmtId="0" fontId="5" fillId="0" borderId="29" xfId="0" applyFont="1" applyBorder="1" applyAlignment="1">
      <alignment horizontal="center" vertical="center" wrapText="1"/>
    </xf>
    <xf numFmtId="0" fontId="5" fillId="0" borderId="29" xfId="0" applyFont="1" applyBorder="1" applyAlignment="1">
      <alignment horizontal="center" vertical="center"/>
    </xf>
    <xf numFmtId="0" fontId="9" fillId="0" borderId="29" xfId="0" applyFont="1" applyBorder="1" applyAlignment="1">
      <alignment horizontal="center" vertical="center" wrapText="1"/>
    </xf>
    <xf numFmtId="14" fontId="5" fillId="0" borderId="2" xfId="0" applyNumberFormat="1" applyFont="1" applyBorder="1" applyAlignment="1">
      <alignment horizontal="center" vertical="center"/>
    </xf>
    <xf numFmtId="14" fontId="5" fillId="0" borderId="18" xfId="0" applyNumberFormat="1" applyFont="1" applyBorder="1" applyAlignment="1">
      <alignment horizontal="center" vertical="center"/>
    </xf>
    <xf numFmtId="0" fontId="5" fillId="0" borderId="18" xfId="0" applyFont="1" applyBorder="1" applyAlignment="1">
      <alignment horizontal="center" vertical="center"/>
    </xf>
    <xf numFmtId="0" fontId="5" fillId="0" borderId="2" xfId="0" applyFont="1" applyBorder="1" applyAlignment="1">
      <alignment horizontal="center" vertical="center"/>
    </xf>
    <xf numFmtId="0" fontId="5" fillId="0" borderId="11" xfId="0" applyFont="1" applyBorder="1" applyAlignment="1">
      <alignment horizontal="center" vertical="center"/>
    </xf>
    <xf numFmtId="0" fontId="9" fillId="0" borderId="18" xfId="0" applyFont="1" applyBorder="1" applyAlignment="1">
      <alignment horizontal="center" vertical="center"/>
    </xf>
    <xf numFmtId="0" fontId="5" fillId="0" borderId="32" xfId="0" applyFont="1" applyBorder="1" applyAlignment="1">
      <alignment horizontal="center" vertical="center"/>
    </xf>
    <xf numFmtId="14" fontId="5" fillId="0" borderId="19" xfId="0" applyNumberFormat="1" applyFont="1" applyBorder="1" applyAlignment="1">
      <alignment horizontal="center" vertical="center"/>
    </xf>
    <xf numFmtId="14" fontId="5" fillId="0" borderId="1" xfId="0" applyNumberFormat="1" applyFont="1" applyBorder="1" applyAlignment="1">
      <alignment horizontal="center" vertical="center"/>
    </xf>
    <xf numFmtId="0" fontId="9" fillId="0" borderId="1" xfId="0" applyFont="1" applyBorder="1" applyAlignment="1">
      <alignment horizontal="center" vertical="center"/>
    </xf>
    <xf numFmtId="14" fontId="6" fillId="17" borderId="19" xfId="0" applyNumberFormat="1" applyFont="1" applyFill="1" applyBorder="1" applyAlignment="1">
      <alignment horizontal="center" vertical="center"/>
    </xf>
    <xf numFmtId="14" fontId="5" fillId="0" borderId="19" xfId="0" applyNumberFormat="1" applyFont="1" applyBorder="1" applyAlignment="1">
      <alignment horizontal="center"/>
    </xf>
    <xf numFmtId="14" fontId="5" fillId="0" borderId="7" xfId="0" applyNumberFormat="1" applyFont="1" applyBorder="1" applyAlignment="1">
      <alignment horizontal="center"/>
    </xf>
    <xf numFmtId="0" fontId="5" fillId="0" borderId="1" xfId="0" applyFont="1" applyBorder="1" applyAlignment="1">
      <alignment horizontal="center" wrapText="1"/>
    </xf>
    <xf numFmtId="0" fontId="5" fillId="0" borderId="7" xfId="0" applyFont="1" applyBorder="1" applyAlignment="1">
      <alignment horizontal="center"/>
    </xf>
    <xf numFmtId="0" fontId="0" fillId="0" borderId="0" xfId="0" applyAlignment="1">
      <alignment vertical="center"/>
    </xf>
    <xf numFmtId="0" fontId="8" fillId="9" borderId="15" xfId="0" applyFont="1" applyFill="1" applyBorder="1" applyAlignment="1">
      <alignment horizontal="center" vertical="center" wrapText="1"/>
    </xf>
    <xf numFmtId="0" fontId="8" fillId="9" borderId="20" xfId="0" applyFont="1" applyFill="1" applyBorder="1" applyAlignment="1">
      <alignment horizontal="center" vertical="center" wrapText="1"/>
    </xf>
    <xf numFmtId="0" fontId="6" fillId="9" borderId="21" xfId="0" applyFont="1" applyFill="1" applyBorder="1" applyAlignment="1">
      <alignment horizontal="center" vertical="center" wrapText="1"/>
    </xf>
    <xf numFmtId="0" fontId="11" fillId="9" borderId="33" xfId="0" applyFont="1" applyFill="1" applyBorder="1" applyAlignment="1">
      <alignment horizontal="center" vertical="center" wrapText="1"/>
    </xf>
    <xf numFmtId="0" fontId="11" fillId="9" borderId="21" xfId="0" applyFont="1" applyFill="1" applyBorder="1" applyAlignment="1">
      <alignment horizontal="center" vertical="center"/>
    </xf>
    <xf numFmtId="0" fontId="11" fillId="9" borderId="22" xfId="0" applyFont="1" applyFill="1" applyBorder="1" applyAlignment="1">
      <alignment horizontal="center" vertical="center" wrapText="1"/>
    </xf>
    <xf numFmtId="0" fontId="11" fillId="9" borderId="20" xfId="0" applyFont="1" applyFill="1" applyBorder="1" applyAlignment="1">
      <alignment horizontal="center" vertical="center"/>
    </xf>
    <xf numFmtId="0" fontId="11" fillId="9" borderId="21" xfId="0" applyFont="1" applyFill="1" applyBorder="1" applyAlignment="1">
      <alignment horizontal="center" vertical="center" wrapText="1"/>
    </xf>
    <xf numFmtId="0" fontId="11" fillId="9" borderId="35" xfId="0" applyFont="1" applyFill="1" applyBorder="1" applyAlignment="1">
      <alignment horizontal="center" vertical="center" wrapText="1"/>
    </xf>
    <xf numFmtId="0" fontId="11" fillId="9" borderId="15" xfId="0" applyFont="1" applyFill="1" applyBorder="1" applyAlignment="1">
      <alignment horizontal="center" vertical="center" wrapText="1"/>
    </xf>
    <xf numFmtId="0" fontId="11" fillId="9" borderId="22" xfId="0" applyFont="1" applyFill="1" applyBorder="1" applyAlignment="1">
      <alignment horizontal="center" vertical="center"/>
    </xf>
    <xf numFmtId="0" fontId="12" fillId="0" borderId="0" xfId="0" applyFont="1"/>
    <xf numFmtId="0" fontId="14" fillId="0" borderId="0" xfId="0" applyFont="1"/>
    <xf numFmtId="0" fontId="13" fillId="0" borderId="0" xfId="0" applyFont="1"/>
    <xf numFmtId="0" fontId="6" fillId="9" borderId="17" xfId="0" applyFont="1" applyFill="1" applyBorder="1" applyAlignment="1">
      <alignment horizontal="center"/>
    </xf>
    <xf numFmtId="14" fontId="6" fillId="9" borderId="24" xfId="0" applyNumberFormat="1" applyFont="1" applyFill="1" applyBorder="1" applyAlignment="1">
      <alignment horizontal="center"/>
    </xf>
    <xf numFmtId="14" fontId="8" fillId="17" borderId="19" xfId="0" applyNumberFormat="1" applyFont="1" applyFill="1" applyBorder="1" applyAlignment="1">
      <alignment horizontal="center"/>
    </xf>
    <xf numFmtId="14" fontId="5" fillId="19" borderId="6" xfId="0" applyNumberFormat="1" applyFont="1" applyFill="1" applyBorder="1" applyAlignment="1">
      <alignment horizontal="center" vertical="center"/>
    </xf>
    <xf numFmtId="0" fontId="5" fillId="19" borderId="7" xfId="0" applyFont="1" applyFill="1" applyBorder="1" applyAlignment="1">
      <alignment vertical="center"/>
    </xf>
    <xf numFmtId="0" fontId="5" fillId="19" borderId="6" xfId="0" applyFont="1" applyFill="1" applyBorder="1" applyAlignment="1">
      <alignment vertical="center"/>
    </xf>
    <xf numFmtId="0" fontId="0" fillId="19" borderId="0" xfId="0" applyFill="1"/>
    <xf numFmtId="0" fontId="5" fillId="0" borderId="18" xfId="0" applyFont="1" applyBorder="1" applyAlignment="1">
      <alignment vertical="center"/>
    </xf>
    <xf numFmtId="14" fontId="5" fillId="0" borderId="18" xfId="0" applyNumberFormat="1" applyFont="1" applyBorder="1" applyAlignment="1">
      <alignment vertical="center"/>
    </xf>
    <xf numFmtId="0" fontId="13" fillId="0" borderId="0" xfId="0" applyFont="1" applyAlignment="1">
      <alignment horizontal="center"/>
    </xf>
    <xf numFmtId="0" fontId="5" fillId="0" borderId="30" xfId="0" applyFont="1" applyBorder="1" applyAlignment="1">
      <alignment horizontal="center" vertical="center"/>
    </xf>
    <xf numFmtId="0" fontId="5" fillId="0" borderId="26" xfId="0" applyFont="1" applyBorder="1" applyAlignment="1">
      <alignment horizontal="center" vertical="center"/>
    </xf>
    <xf numFmtId="0" fontId="5" fillId="0" borderId="18" xfId="0" applyFont="1" applyBorder="1" applyAlignment="1">
      <alignment horizontal="center" vertical="center"/>
    </xf>
    <xf numFmtId="0" fontId="5" fillId="0" borderId="7" xfId="0" applyFont="1" applyBorder="1" applyAlignment="1">
      <alignment horizontal="center" vertical="center"/>
    </xf>
    <xf numFmtId="0" fontId="5" fillId="0" borderId="18" xfId="0" applyFont="1" applyBorder="1" applyAlignment="1">
      <alignment horizontal="center"/>
    </xf>
    <xf numFmtId="0" fontId="5" fillId="0" borderId="7" xfId="0" applyFont="1" applyBorder="1" applyAlignment="1">
      <alignment horizontal="center"/>
    </xf>
    <xf numFmtId="14" fontId="5" fillId="0" borderId="18" xfId="0" applyNumberFormat="1" applyFont="1" applyBorder="1" applyAlignment="1">
      <alignment horizontal="center" vertical="center"/>
    </xf>
    <xf numFmtId="14" fontId="5" fillId="0" borderId="7" xfId="0" applyNumberFormat="1" applyFont="1" applyBorder="1" applyAlignment="1">
      <alignment horizontal="center" vertical="center"/>
    </xf>
    <xf numFmtId="0" fontId="5" fillId="0" borderId="1" xfId="0" applyFont="1" applyBorder="1" applyAlignment="1">
      <alignment horizontal="center"/>
    </xf>
    <xf numFmtId="0" fontId="2" fillId="9" borderId="38" xfId="0" applyFont="1" applyFill="1" applyBorder="1" applyAlignment="1">
      <alignment horizontal="center" vertical="center"/>
    </xf>
    <xf numFmtId="0" fontId="2" fillId="9" borderId="37" xfId="0" applyFont="1" applyFill="1" applyBorder="1" applyAlignment="1">
      <alignment horizontal="center" vertical="center"/>
    </xf>
    <xf numFmtId="0" fontId="2" fillId="9" borderId="36" xfId="0" applyFont="1" applyFill="1" applyBorder="1" applyAlignment="1">
      <alignment horizontal="center" vertical="center"/>
    </xf>
    <xf numFmtId="0" fontId="5" fillId="19" borderId="1" xfId="0" applyFont="1" applyFill="1" applyBorder="1" applyAlignment="1">
      <alignment horizontal="center"/>
    </xf>
    <xf numFmtId="0" fontId="5" fillId="19" borderId="18" xfId="0" applyFont="1" applyFill="1" applyBorder="1" applyAlignment="1">
      <alignment horizontal="center"/>
    </xf>
    <xf numFmtId="0" fontId="5" fillId="19" borderId="7" xfId="0" applyFont="1" applyFill="1" applyBorder="1" applyAlignment="1">
      <alignment horizontal="center"/>
    </xf>
    <xf numFmtId="1" fontId="5" fillId="19" borderId="2" xfId="0" applyNumberFormat="1" applyFont="1" applyFill="1" applyBorder="1" applyAlignment="1">
      <alignment horizontal="center"/>
    </xf>
    <xf numFmtId="1" fontId="5" fillId="19" borderId="6" xfId="0" applyNumberFormat="1" applyFont="1" applyFill="1" applyBorder="1" applyAlignment="1">
      <alignment horizontal="center"/>
    </xf>
    <xf numFmtId="0" fontId="5" fillId="0" borderId="31" xfId="0" applyFont="1" applyBorder="1" applyAlignment="1">
      <alignment horizontal="center" vertical="center"/>
    </xf>
    <xf numFmtId="0" fontId="5" fillId="0" borderId="27" xfId="0" applyFont="1" applyBorder="1" applyAlignment="1">
      <alignment horizontal="center" vertical="center"/>
    </xf>
    <xf numFmtId="14" fontId="5" fillId="0" borderId="30" xfId="0" applyNumberFormat="1" applyFont="1" applyBorder="1" applyAlignment="1">
      <alignment horizontal="center" vertical="center"/>
    </xf>
    <xf numFmtId="14" fontId="5" fillId="0" borderId="26" xfId="0" applyNumberFormat="1" applyFont="1" applyBorder="1" applyAlignment="1">
      <alignment horizontal="center" vertical="center"/>
    </xf>
    <xf numFmtId="0" fontId="9" fillId="0" borderId="18" xfId="0" applyFont="1" applyBorder="1" applyAlignment="1">
      <alignment horizontal="center" vertical="center"/>
    </xf>
    <xf numFmtId="0" fontId="9" fillId="0" borderId="7" xfId="0" applyFont="1" applyBorder="1" applyAlignment="1">
      <alignment horizontal="center" vertical="center"/>
    </xf>
    <xf numFmtId="0" fontId="5" fillId="0" borderId="32" xfId="0" applyFont="1" applyBorder="1" applyAlignment="1">
      <alignment horizontal="center" vertical="center"/>
    </xf>
    <xf numFmtId="0" fontId="5" fillId="0" borderId="25" xfId="0" applyFont="1" applyBorder="1" applyAlignment="1">
      <alignment horizontal="center" vertical="center"/>
    </xf>
    <xf numFmtId="0" fontId="2" fillId="9" borderId="43" xfId="0" applyFont="1" applyFill="1" applyBorder="1" applyAlignment="1">
      <alignment horizontal="center" vertical="center"/>
    </xf>
    <xf numFmtId="0" fontId="2" fillId="9" borderId="29" xfId="0" applyFont="1" applyFill="1" applyBorder="1" applyAlignment="1">
      <alignment horizontal="center" vertical="center"/>
    </xf>
    <xf numFmtId="0" fontId="2" fillId="9" borderId="28" xfId="0" applyFont="1" applyFill="1" applyBorder="1" applyAlignment="1">
      <alignment horizontal="center" vertical="center"/>
    </xf>
    <xf numFmtId="0" fontId="2" fillId="9" borderId="42" xfId="0" applyFont="1" applyFill="1" applyBorder="1" applyAlignment="1">
      <alignment horizontal="center" vertical="center"/>
    </xf>
    <xf numFmtId="0" fontId="2" fillId="9" borderId="12" xfId="0" applyFont="1" applyFill="1" applyBorder="1" applyAlignment="1">
      <alignment horizontal="center" vertical="center" wrapText="1"/>
    </xf>
    <xf numFmtId="0" fontId="2" fillId="9" borderId="14" xfId="0" applyFont="1" applyFill="1" applyBorder="1" applyAlignment="1">
      <alignment horizontal="center" vertical="center" wrapText="1"/>
    </xf>
    <xf numFmtId="0" fontId="2" fillId="9" borderId="12" xfId="0" applyFont="1" applyFill="1" applyBorder="1" applyAlignment="1">
      <alignment horizontal="center" vertical="center"/>
    </xf>
    <xf numFmtId="0" fontId="2" fillId="9" borderId="14" xfId="0" applyFont="1" applyFill="1" applyBorder="1" applyAlignment="1">
      <alignment horizontal="center" vertical="center"/>
    </xf>
    <xf numFmtId="0" fontId="2" fillId="9" borderId="40" xfId="0" applyFont="1" applyFill="1" applyBorder="1" applyAlignment="1">
      <alignment horizontal="center" vertical="center"/>
    </xf>
    <xf numFmtId="0" fontId="2" fillId="9" borderId="39" xfId="0" applyFont="1" applyFill="1" applyBorder="1" applyAlignment="1">
      <alignment horizontal="center" vertical="center"/>
    </xf>
    <xf numFmtId="0" fontId="2" fillId="9" borderId="40" xfId="0" applyFont="1" applyFill="1" applyBorder="1" applyAlignment="1">
      <alignment horizontal="center" vertical="center" wrapText="1"/>
    </xf>
    <xf numFmtId="0" fontId="2" fillId="9" borderId="39" xfId="0" applyFont="1" applyFill="1" applyBorder="1" applyAlignment="1">
      <alignment horizontal="center" vertical="center" wrapText="1"/>
    </xf>
    <xf numFmtId="0" fontId="2" fillId="9" borderId="44" xfId="0" applyFont="1" applyFill="1" applyBorder="1" applyAlignment="1">
      <alignment horizontal="center" vertical="center" wrapText="1"/>
    </xf>
    <xf numFmtId="0" fontId="5" fillId="0" borderId="18" xfId="0" applyFont="1" applyBorder="1" applyAlignment="1">
      <alignment horizontal="center" vertical="center" wrapText="1"/>
    </xf>
    <xf numFmtId="0" fontId="5" fillId="0" borderId="7" xfId="0" applyFont="1" applyBorder="1" applyAlignment="1">
      <alignment horizontal="center" vertical="center" wrapText="1"/>
    </xf>
    <xf numFmtId="0" fontId="11" fillId="9" borderId="20" xfId="0" applyFont="1" applyFill="1" applyBorder="1" applyAlignment="1">
      <alignment horizontal="center" vertical="center" wrapText="1"/>
    </xf>
    <xf numFmtId="0" fontId="11" fillId="9" borderId="34" xfId="0" applyFont="1" applyFill="1" applyBorder="1" applyAlignment="1">
      <alignment horizontal="center" vertical="center" wrapText="1"/>
    </xf>
    <xf numFmtId="0" fontId="2" fillId="9" borderId="41" xfId="0" applyFont="1" applyFill="1" applyBorder="1" applyAlignment="1">
      <alignment horizontal="center" vertical="center"/>
    </xf>
    <xf numFmtId="1" fontId="5" fillId="0" borderId="2" xfId="0" applyNumberFormat="1" applyFont="1" applyBorder="1" applyAlignment="1">
      <alignment horizontal="center"/>
    </xf>
    <xf numFmtId="1" fontId="5" fillId="0" borderId="6" xfId="0" applyNumberFormat="1" applyFont="1" applyBorder="1" applyAlignment="1">
      <alignment horizontal="center"/>
    </xf>
    <xf numFmtId="0" fontId="0" fillId="9" borderId="0" xfId="0" applyFill="1" applyAlignment="1">
      <alignment horizontal="center"/>
    </xf>
  </cellXfs>
  <cellStyles count="1">
    <cellStyle name="Normal" xfId="0" builtinId="0"/>
  </cellStyles>
  <dxfs count="18">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color rgb="FFC00000"/>
      </font>
      <fill>
        <gradientFill degree="45">
          <stop position="0">
            <color theme="7"/>
          </stop>
          <stop position="1">
            <color theme="7" tint="0.80001220740379042"/>
          </stop>
        </gradientFill>
      </fill>
      <border>
        <left style="thin">
          <color auto="1"/>
        </left>
        <right style="thin">
          <color auto="1"/>
        </right>
        <top style="thin">
          <color auto="1"/>
        </top>
        <bottom style="thin">
          <color auto="1"/>
        </bottom>
      </border>
    </dxf>
    <dxf>
      <font>
        <b/>
        <i val="0"/>
        <color rgb="FFC00000"/>
      </font>
      <fill>
        <gradientFill degree="90">
          <stop position="0">
            <color theme="7"/>
          </stop>
          <stop position="1">
            <color theme="7" tint="0.80001220740379042"/>
          </stop>
        </gradientFill>
      </fill>
      <border>
        <left style="thin">
          <color auto="1"/>
        </left>
        <right style="thin">
          <color auto="1"/>
        </right>
        <top style="thin">
          <color auto="1"/>
        </top>
        <bottom style="thin">
          <color auto="1"/>
        </bottom>
      </border>
    </dxf>
    <dxf>
      <numFmt numFmtId="0" formatCode="General"/>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auto="1"/>
        </top>
      </border>
    </dxf>
    <dxf>
      <border outline="0">
        <bottom style="thin">
          <color auto="1"/>
        </bottom>
      </border>
    </dxf>
    <dxf>
      <alignment textRotation="0" wrapText="1" indent="0" justifyLastLine="0" shrinkToFit="0" readingOrder="0"/>
    </dxf>
  </dxfs>
  <tableStyles count="0" defaultTableStyle="TableStyleMedium2" defaultPivotStyle="PivotStyleLight16"/>
  <colors>
    <mruColors>
      <color rgb="FF67D1BA"/>
      <color rgb="FF3DA4AB"/>
      <color rgb="FF1D2B3B"/>
      <color rgb="FF164985"/>
      <color rgb="FFFF9999"/>
      <color rgb="FFFF505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17064</xdr:colOff>
      <xdr:row>0</xdr:row>
      <xdr:rowOff>29767</xdr:rowOff>
    </xdr:from>
    <xdr:to>
      <xdr:col>14</xdr:col>
      <xdr:colOff>601266</xdr:colOff>
      <xdr:row>27</xdr:row>
      <xdr:rowOff>170655</xdr:rowOff>
    </xdr:to>
    <xdr:grpSp>
      <xdr:nvGrpSpPr>
        <xdr:cNvPr id="2" name="Group 1">
          <a:extLst>
            <a:ext uri="{FF2B5EF4-FFF2-40B4-BE49-F238E27FC236}">
              <a16:creationId xmlns:a16="http://schemas.microsoft.com/office/drawing/2014/main" id="{46F44887-AAAF-496C-829E-1BD13699E82A}"/>
            </a:ext>
          </a:extLst>
        </xdr:cNvPr>
        <xdr:cNvGrpSpPr/>
      </xdr:nvGrpSpPr>
      <xdr:grpSpPr>
        <a:xfrm>
          <a:off x="17064" y="29767"/>
          <a:ext cx="9098087" cy="5284388"/>
          <a:chOff x="17064" y="29767"/>
          <a:chExt cx="9728202" cy="5855888"/>
        </a:xfrm>
      </xdr:grpSpPr>
      <xdr:sp macro="" textlink="">
        <xdr:nvSpPr>
          <xdr:cNvPr id="3" name="Rounded Rectangle 4">
            <a:extLst>
              <a:ext uri="{FF2B5EF4-FFF2-40B4-BE49-F238E27FC236}">
                <a16:creationId xmlns:a16="http://schemas.microsoft.com/office/drawing/2014/main" id="{F14A150E-A22A-13FF-5E11-4114967E987D}"/>
              </a:ext>
            </a:extLst>
          </xdr:cNvPr>
          <xdr:cNvSpPr/>
        </xdr:nvSpPr>
        <xdr:spPr>
          <a:xfrm>
            <a:off x="23811" y="29767"/>
            <a:ext cx="9721455" cy="232171"/>
          </a:xfrm>
          <a:prstGeom prst="rect">
            <a:avLst/>
          </a:prstGeom>
          <a:solidFill>
            <a:srgbClr val="00A6A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b="0"/>
              <a:t>Proprietate intelectuala KNOWLEDGE WORK CONSULTING SRL - copierea, instrainarea sau revanzarea acestor documente este strict interzisa</a:t>
            </a:r>
          </a:p>
        </xdr:txBody>
      </xdr:sp>
      <xdr:sp macro="" textlink="">
        <xdr:nvSpPr>
          <xdr:cNvPr id="4" name="Rectangle: Rounded Corners 3">
            <a:extLst>
              <a:ext uri="{FF2B5EF4-FFF2-40B4-BE49-F238E27FC236}">
                <a16:creationId xmlns:a16="http://schemas.microsoft.com/office/drawing/2014/main" id="{4FBA85D9-4723-EB51-1B4B-72EFE6CA9D7A}"/>
              </a:ext>
            </a:extLst>
          </xdr:cNvPr>
          <xdr:cNvSpPr/>
        </xdr:nvSpPr>
        <xdr:spPr>
          <a:xfrm>
            <a:off x="21771" y="469617"/>
            <a:ext cx="9698797" cy="327421"/>
          </a:xfrm>
          <a:prstGeom prst="roundRect">
            <a:avLst/>
          </a:prstGeom>
          <a:solidFill>
            <a:sysClr val="window" lastClr="FFFFFF"/>
          </a:solidFill>
          <a:ln w="6350">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eaLnBrk="1" fontAlgn="auto" latinLnBrk="0" hangingPunct="1"/>
            <a:r>
              <a:rPr lang="en-US" sz="1800" b="1">
                <a:solidFill>
                  <a:sysClr val="windowText" lastClr="000000"/>
                </a:solidFill>
                <a:effectLst/>
                <a:latin typeface="+mn-lt"/>
                <a:ea typeface="+mn-ea"/>
                <a:cs typeface="+mn-cs"/>
              </a:rPr>
              <a:t>EVIDENTA SIMPLIFICATA STOCURI (FARA MISCARI) (v.1.0)</a:t>
            </a:r>
            <a:endParaRPr lang="en-US" sz="1800">
              <a:solidFill>
                <a:sysClr val="windowText" lastClr="000000"/>
              </a:solidFill>
              <a:effectLst/>
            </a:endParaRPr>
          </a:p>
        </xdr:txBody>
      </xdr:sp>
      <xdr:sp macro="" textlink="">
        <xdr:nvSpPr>
          <xdr:cNvPr id="5" name="Rounded Rectangle 4">
            <a:extLst>
              <a:ext uri="{FF2B5EF4-FFF2-40B4-BE49-F238E27FC236}">
                <a16:creationId xmlns:a16="http://schemas.microsoft.com/office/drawing/2014/main" id="{F4CF15AD-8CB9-4CD6-8057-07ACD980335B}"/>
              </a:ext>
            </a:extLst>
          </xdr:cNvPr>
          <xdr:cNvSpPr/>
        </xdr:nvSpPr>
        <xdr:spPr>
          <a:xfrm>
            <a:off x="17064" y="5282008"/>
            <a:ext cx="9715502" cy="603647"/>
          </a:xfrm>
          <a:prstGeom prst="rect">
            <a:avLst/>
          </a:prstGeom>
          <a:solidFill>
            <a:srgbClr val="00A6A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b="0"/>
              <a:t>Conform legii 8 din 14.03.1996 cu republicările și modificările ulterioare: Acest document este proprietatea firmei SC KNOWLEDGE WORK CONSULTING SRL, și nu poate fi folosit, transmis sau reprodus, total sau parțial, fără autorizarea expresă și scrisă. Utilizarea sa trebuie sa fie conformă celei pentru care a fost elaborat. Documentul este valabil numai cu semnăturile autorizate și ștampila SC KNOWLEDGE WORK CONSULTING SRL.</a:t>
            </a:r>
          </a:p>
        </xdr:txBody>
      </xdr:sp>
      <xdr:sp macro="" textlink="">
        <xdr:nvSpPr>
          <xdr:cNvPr id="6" name="Rectangle 5">
            <a:extLst>
              <a:ext uri="{FF2B5EF4-FFF2-40B4-BE49-F238E27FC236}">
                <a16:creationId xmlns:a16="http://schemas.microsoft.com/office/drawing/2014/main" id="{773B642D-0B54-3BF1-82FB-602702010F31}"/>
              </a:ext>
            </a:extLst>
          </xdr:cNvPr>
          <xdr:cNvSpPr/>
        </xdr:nvSpPr>
        <xdr:spPr>
          <a:xfrm>
            <a:off x="327835" y="1297594"/>
            <a:ext cx="4324445" cy="3539985"/>
          </a:xfrm>
          <a:prstGeom prst="rect">
            <a:avLst/>
          </a:prstGeom>
          <a:gradFill>
            <a:gsLst>
              <a:gs pos="14000">
                <a:srgbClr val="BBF7E4"/>
              </a:gs>
              <a:gs pos="99000">
                <a:srgbClr val="CCE7F0"/>
              </a:gs>
            </a:gsLst>
            <a:lin ang="16200000" scaled="0"/>
          </a:gradFill>
          <a:ln>
            <a:noFill/>
          </a:ln>
          <a:effectLst>
            <a:outerShdw blurRad="2032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ro-RO" sz="1100" b="1">
                <a:solidFill>
                  <a:sysClr val="windowText" lastClr="000000"/>
                </a:solidFill>
              </a:rPr>
              <a:t>-  UNDE COMPLETAȚI CU INFORMAȚII -</a:t>
            </a:r>
          </a:p>
          <a:p>
            <a:pPr algn="l"/>
            <a:endParaRPr lang="ro-RO" sz="1100">
              <a:solidFill>
                <a:sysClr val="windowText" lastClr="000000"/>
              </a:solidFill>
            </a:endParaRPr>
          </a:p>
          <a:p>
            <a:pPr algn="l"/>
            <a:endParaRPr lang="ro-RO" sz="1100">
              <a:solidFill>
                <a:sysClr val="windowText" lastClr="000000"/>
              </a:solidFill>
            </a:endParaRPr>
          </a:p>
          <a:p>
            <a:pPr algn="l"/>
            <a:r>
              <a:rPr lang="ro-RO" sz="1100">
                <a:solidFill>
                  <a:sysClr val="windowText" lastClr="000000"/>
                </a:solidFill>
              </a:rPr>
              <a:t>În acest fișier aveți la dispoziție</a:t>
            </a:r>
            <a:r>
              <a:rPr lang="ro-RO" sz="1100" baseline="0">
                <a:solidFill>
                  <a:sysClr val="windowText" lastClr="000000"/>
                </a:solidFill>
              </a:rPr>
              <a:t> </a:t>
            </a:r>
            <a:r>
              <a:rPr lang="en-US" sz="1100" baseline="0">
                <a:solidFill>
                  <a:sysClr val="windowText" lastClr="000000"/>
                </a:solidFill>
              </a:rPr>
              <a:t>o</a:t>
            </a:r>
            <a:r>
              <a:rPr lang="ro-RO" sz="1100" baseline="0">
                <a:solidFill>
                  <a:sysClr val="windowText" lastClr="000000"/>
                </a:solidFill>
              </a:rPr>
              <a:t> fo</a:t>
            </a:r>
            <a:r>
              <a:rPr lang="en-US" sz="1100" baseline="0">
                <a:solidFill>
                  <a:sysClr val="windowText" lastClr="000000"/>
                </a:solidFill>
              </a:rPr>
              <a:t>a</a:t>
            </a:r>
            <a:r>
              <a:rPr lang="ro-RO" sz="1100" baseline="0">
                <a:solidFill>
                  <a:sysClr val="windowText" lastClr="000000"/>
                </a:solidFill>
              </a:rPr>
              <a:t>i</a:t>
            </a:r>
            <a:r>
              <a:rPr lang="en-US" sz="1100" baseline="0">
                <a:solidFill>
                  <a:sysClr val="windowText" lastClr="000000"/>
                </a:solidFill>
              </a:rPr>
              <a:t>e</a:t>
            </a:r>
            <a:r>
              <a:rPr lang="ro-RO" sz="1100" baseline="0">
                <a:solidFill>
                  <a:sysClr val="windowText" lastClr="000000"/>
                </a:solidFill>
              </a:rPr>
              <a:t> de lucru </a:t>
            </a:r>
            <a:r>
              <a:rPr lang="en-US" sz="1100" baseline="0">
                <a:solidFill>
                  <a:sysClr val="windowText" lastClr="000000"/>
                </a:solidFill>
              </a:rPr>
              <a:t>pentru eviden</a:t>
            </a:r>
            <a:r>
              <a:rPr lang="ro-RO" sz="1100" baseline="0">
                <a:solidFill>
                  <a:sysClr val="windowText" lastClr="000000"/>
                </a:solidFill>
              </a:rPr>
              <a:t>ța simplificată a stocurilor (stocuri curente vs. stocuri de siguranță).</a:t>
            </a:r>
          </a:p>
          <a:p>
            <a:pPr algn="l"/>
            <a:endParaRPr lang="ro-RO" sz="1100" baseline="0">
              <a:solidFill>
                <a:sysClr val="windowText" lastClr="000000"/>
              </a:solidFill>
            </a:endParaRPr>
          </a:p>
          <a:p>
            <a:pPr algn="l"/>
            <a:r>
              <a:rPr lang="ro-RO" sz="1100" baseline="0">
                <a:solidFill>
                  <a:sysClr val="windowText" lastClr="000000"/>
                </a:solidFill>
              </a:rPr>
              <a:t>Aveți la dispoziție următoarele coloane pentru a introduce informații:</a:t>
            </a:r>
          </a:p>
          <a:p>
            <a:pPr algn="l"/>
            <a:r>
              <a:rPr lang="ro-RO" sz="1100" baseline="0">
                <a:solidFill>
                  <a:sysClr val="windowText" lastClr="000000"/>
                </a:solidFill>
                <a:latin typeface="+mn-lt"/>
                <a:ea typeface="+mn-ea"/>
                <a:cs typeface="+mn-cs"/>
              </a:rPr>
              <a:t>- </a:t>
            </a:r>
            <a:r>
              <a:rPr lang="ro-RO" sz="1100" b="1" baseline="0">
                <a:solidFill>
                  <a:sysClr val="windowText" lastClr="000000"/>
                </a:solidFill>
                <a:latin typeface="+mn-lt"/>
                <a:ea typeface="+mn-ea"/>
                <a:cs typeface="+mn-cs"/>
              </a:rPr>
              <a:t>Produs</a:t>
            </a:r>
            <a:r>
              <a:rPr lang="ro-RO" sz="1100" baseline="0">
                <a:solidFill>
                  <a:sysClr val="windowText" lastClr="000000"/>
                </a:solidFill>
                <a:latin typeface="+mn-lt"/>
                <a:ea typeface="+mn-ea"/>
                <a:cs typeface="+mn-cs"/>
              </a:rPr>
              <a:t> - aici treceți unul sub altul codurile de produs</a:t>
            </a:r>
          </a:p>
          <a:p>
            <a:pPr algn="l"/>
            <a:r>
              <a:rPr lang="ro-RO" sz="1100" baseline="0">
                <a:solidFill>
                  <a:sysClr val="windowText" lastClr="000000"/>
                </a:solidFill>
                <a:latin typeface="+mn-lt"/>
                <a:ea typeface="+mn-ea"/>
                <a:cs typeface="+mn-cs"/>
              </a:rPr>
              <a:t>- </a:t>
            </a:r>
            <a:r>
              <a:rPr lang="ro-RO" sz="1100" b="1" baseline="0">
                <a:solidFill>
                  <a:sysClr val="windowText" lastClr="000000"/>
                </a:solidFill>
                <a:latin typeface="+mn-lt"/>
                <a:ea typeface="+mn-ea"/>
                <a:cs typeface="+mn-cs"/>
              </a:rPr>
              <a:t>N</a:t>
            </a:r>
            <a:r>
              <a:rPr lang="en-US" sz="1100" b="1" baseline="0">
                <a:solidFill>
                  <a:sysClr val="windowText" lastClr="000000"/>
                </a:solidFill>
                <a:latin typeface="+mn-lt"/>
                <a:ea typeface="+mn-ea"/>
                <a:cs typeface="+mn-cs"/>
              </a:rPr>
              <a:t>ume produs</a:t>
            </a:r>
            <a:r>
              <a:rPr lang="en-US" sz="1100" baseline="0">
                <a:solidFill>
                  <a:sysClr val="windowText" lastClr="000000"/>
                </a:solidFill>
                <a:latin typeface="+mn-lt"/>
                <a:ea typeface="+mn-ea"/>
                <a:cs typeface="+mn-cs"/>
              </a:rPr>
              <a:t> </a:t>
            </a:r>
            <a:r>
              <a:rPr lang="ro-RO" sz="1100" baseline="0">
                <a:solidFill>
                  <a:sysClr val="windowText" lastClr="000000"/>
                </a:solidFill>
                <a:latin typeface="+mn-lt"/>
                <a:ea typeface="+mn-ea"/>
                <a:cs typeface="+mn-cs"/>
              </a:rPr>
              <a:t>- aici treceți una sub altul numele produselor</a:t>
            </a:r>
          </a:p>
          <a:p>
            <a:pPr algn="l"/>
            <a:r>
              <a:rPr lang="ro-RO" sz="1100" baseline="0">
                <a:solidFill>
                  <a:sysClr val="windowText" lastClr="000000"/>
                </a:solidFill>
                <a:latin typeface="+mn-lt"/>
                <a:ea typeface="+mn-ea"/>
                <a:cs typeface="+mn-cs"/>
              </a:rPr>
              <a:t>- </a:t>
            </a:r>
            <a:r>
              <a:rPr lang="en-US" sz="1100" b="1" baseline="0">
                <a:solidFill>
                  <a:sysClr val="windowText" lastClr="000000"/>
                </a:solidFill>
                <a:latin typeface="+mn-lt"/>
                <a:ea typeface="+mn-ea"/>
                <a:cs typeface="+mn-cs"/>
              </a:rPr>
              <a:t>Stoc actual</a:t>
            </a:r>
            <a:r>
              <a:rPr lang="en-US" sz="1100" baseline="0">
                <a:solidFill>
                  <a:sysClr val="windowText" lastClr="000000"/>
                </a:solidFill>
                <a:latin typeface="+mn-lt"/>
                <a:ea typeface="+mn-ea"/>
                <a:cs typeface="+mn-cs"/>
              </a:rPr>
              <a:t> </a:t>
            </a:r>
            <a:r>
              <a:rPr lang="ro-RO" sz="1100" baseline="0">
                <a:solidFill>
                  <a:sysClr val="windowText" lastClr="000000"/>
                </a:solidFill>
                <a:latin typeface="+mn-lt"/>
                <a:ea typeface="+mn-ea"/>
                <a:cs typeface="+mn-cs"/>
              </a:rPr>
              <a:t>- aici treceți unul sub altul stocurile actuale pentru fiecare produs</a:t>
            </a:r>
          </a:p>
          <a:p>
            <a:pPr algn="l"/>
            <a:r>
              <a:rPr lang="ro-RO" sz="1100" baseline="0">
                <a:solidFill>
                  <a:sysClr val="windowText" lastClr="000000"/>
                </a:solidFill>
                <a:latin typeface="+mn-lt"/>
                <a:ea typeface="+mn-ea"/>
                <a:cs typeface="+mn-cs"/>
              </a:rPr>
              <a:t>- </a:t>
            </a:r>
            <a:r>
              <a:rPr lang="en-US" sz="1100" b="1" baseline="0">
                <a:solidFill>
                  <a:sysClr val="windowText" lastClr="000000"/>
                </a:solidFill>
                <a:latin typeface="+mn-lt"/>
                <a:ea typeface="+mn-ea"/>
                <a:cs typeface="+mn-cs"/>
              </a:rPr>
              <a:t>Cost unitar</a:t>
            </a:r>
            <a:r>
              <a:rPr lang="en-US" sz="1100" baseline="0">
                <a:solidFill>
                  <a:sysClr val="windowText" lastClr="000000"/>
                </a:solidFill>
                <a:latin typeface="+mn-lt"/>
                <a:ea typeface="+mn-ea"/>
                <a:cs typeface="+mn-cs"/>
              </a:rPr>
              <a:t> </a:t>
            </a:r>
            <a:r>
              <a:rPr lang="ro-RO" sz="1100" baseline="0">
                <a:solidFill>
                  <a:sysClr val="windowText" lastClr="000000"/>
                </a:solidFill>
                <a:latin typeface="+mn-lt"/>
                <a:ea typeface="+mn-ea"/>
                <a:cs typeface="+mn-cs"/>
              </a:rPr>
              <a:t>- aici treceți unul sub altul costurile per bucată pentru fiecare produs</a:t>
            </a:r>
          </a:p>
          <a:p>
            <a:pPr algn="l"/>
            <a:r>
              <a:rPr lang="ro-RO" sz="1100" baseline="0">
                <a:solidFill>
                  <a:sysClr val="windowText" lastClr="000000"/>
                </a:solidFill>
                <a:latin typeface="+mn-lt"/>
                <a:ea typeface="+mn-ea"/>
                <a:cs typeface="+mn-cs"/>
              </a:rPr>
              <a:t>- </a:t>
            </a:r>
            <a:r>
              <a:rPr lang="en-US" sz="1100" b="1" baseline="0">
                <a:solidFill>
                  <a:sysClr val="windowText" lastClr="000000"/>
                </a:solidFill>
                <a:latin typeface="+mn-lt"/>
                <a:ea typeface="+mn-ea"/>
                <a:cs typeface="+mn-cs"/>
              </a:rPr>
              <a:t>Stoc de siguran</a:t>
            </a:r>
            <a:r>
              <a:rPr lang="ro-RO" sz="1100" b="1" baseline="0">
                <a:solidFill>
                  <a:sysClr val="windowText" lastClr="000000"/>
                </a:solidFill>
                <a:latin typeface="+mn-lt"/>
                <a:ea typeface="+mn-ea"/>
                <a:cs typeface="+mn-cs"/>
              </a:rPr>
              <a:t>ță</a:t>
            </a:r>
            <a:r>
              <a:rPr lang="en-US" sz="1100" baseline="0">
                <a:solidFill>
                  <a:sysClr val="windowText" lastClr="000000"/>
                </a:solidFill>
                <a:latin typeface="+mn-lt"/>
                <a:ea typeface="+mn-ea"/>
                <a:cs typeface="+mn-cs"/>
              </a:rPr>
              <a:t> </a:t>
            </a:r>
            <a:r>
              <a:rPr lang="ro-RO" sz="1100" baseline="0">
                <a:solidFill>
                  <a:sysClr val="windowText" lastClr="000000"/>
                </a:solidFill>
                <a:latin typeface="+mn-lt"/>
                <a:ea typeface="+mn-ea"/>
                <a:cs typeface="+mn-cs"/>
              </a:rPr>
              <a:t>- aici treceți unul sub altul stocurile de siguranță pentru fiecare produs</a:t>
            </a:r>
          </a:p>
        </xdr:txBody>
      </xdr:sp>
      <xdr:sp macro="" textlink="">
        <xdr:nvSpPr>
          <xdr:cNvPr id="7" name="Rectangle 6">
            <a:extLst>
              <a:ext uri="{FF2B5EF4-FFF2-40B4-BE49-F238E27FC236}">
                <a16:creationId xmlns:a16="http://schemas.microsoft.com/office/drawing/2014/main" id="{2CBBDE61-E52F-9AC1-BB74-EA58DC0D3913}"/>
              </a:ext>
            </a:extLst>
          </xdr:cNvPr>
          <xdr:cNvSpPr/>
        </xdr:nvSpPr>
        <xdr:spPr>
          <a:xfrm>
            <a:off x="4996617" y="1355425"/>
            <a:ext cx="4332287" cy="2375684"/>
          </a:xfrm>
          <a:prstGeom prst="rect">
            <a:avLst/>
          </a:prstGeom>
          <a:gradFill>
            <a:gsLst>
              <a:gs pos="14000">
                <a:srgbClr val="BBF7E4"/>
              </a:gs>
              <a:gs pos="99000">
                <a:srgbClr val="CCE7F0"/>
              </a:gs>
            </a:gsLst>
            <a:lin ang="16200000" scaled="0"/>
          </a:gradFill>
          <a:ln>
            <a:noFill/>
          </a:ln>
          <a:effectLst>
            <a:outerShdw blurRad="2032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ro-RO" sz="1100" b="1">
              <a:solidFill>
                <a:sysClr val="windowText" lastClr="000000"/>
              </a:solidFill>
            </a:endParaRPr>
          </a:p>
          <a:p>
            <a:pPr algn="ctr"/>
            <a:r>
              <a:rPr lang="ro-RO" sz="1100" b="1">
                <a:solidFill>
                  <a:sysClr val="windowText" lastClr="000000"/>
                </a:solidFill>
              </a:rPr>
              <a:t>-  OBȚINEȚI AUTOMAT URMĂTOARELE -</a:t>
            </a:r>
          </a:p>
          <a:p>
            <a:pPr algn="l"/>
            <a:endParaRPr lang="ro-RO" sz="1100" baseline="0">
              <a:solidFill>
                <a:sysClr val="windowText" lastClr="000000"/>
              </a:solidFill>
            </a:endParaRPr>
          </a:p>
          <a:p>
            <a:pPr algn="l"/>
            <a:r>
              <a:rPr lang="ro-RO" sz="1100" baseline="0">
                <a:solidFill>
                  <a:sysClr val="windowText" lastClr="000000"/>
                </a:solidFill>
              </a:rPr>
              <a:t>- </a:t>
            </a:r>
            <a:r>
              <a:rPr lang="ro-RO" sz="1100" b="1" baseline="0">
                <a:solidFill>
                  <a:sysClr val="windowText" lastClr="000000"/>
                </a:solidFill>
              </a:rPr>
              <a:t>Cost Total </a:t>
            </a:r>
            <a:r>
              <a:rPr lang="ro-RO" sz="1100" baseline="0">
                <a:solidFill>
                  <a:sysClr val="windowText" lastClr="000000"/>
                </a:solidFill>
              </a:rPr>
              <a:t>- valorile de pe această coloană se calculează automat: [Stoc actual] x [Cost unitar]</a:t>
            </a:r>
          </a:p>
          <a:p>
            <a:pPr algn="l"/>
            <a:endParaRPr lang="ro-RO" sz="1100" baseline="0">
              <a:solidFill>
                <a:sysClr val="windowText" lastClr="000000"/>
              </a:solidFill>
            </a:endParaRPr>
          </a:p>
          <a:p>
            <a:pPr algn="l"/>
            <a:r>
              <a:rPr lang="ro-RO" sz="1100" baseline="0">
                <a:solidFill>
                  <a:sysClr val="windowText" lastClr="000000"/>
                </a:solidFill>
              </a:rPr>
              <a:t>- </a:t>
            </a:r>
            <a:r>
              <a:rPr lang="ro-RO" sz="1100" b="1" baseline="0">
                <a:solidFill>
                  <a:sysClr val="windowText" lastClr="000000"/>
                </a:solidFill>
              </a:rPr>
              <a:t>Formatarea condiționată pentru coloana Stoc actual</a:t>
            </a:r>
            <a:r>
              <a:rPr lang="ro-RO" sz="1100" baseline="0">
                <a:solidFill>
                  <a:sysClr val="windowText" lastClr="000000"/>
                </a:solidFill>
              </a:rPr>
              <a:t> - dacă Stocul actual </a:t>
            </a:r>
            <a:r>
              <a:rPr lang="en-US" sz="1100" baseline="0">
                <a:solidFill>
                  <a:sysClr val="windowText" lastClr="000000"/>
                </a:solidFill>
              </a:rPr>
              <a:t>&lt;= Stocul de siguran</a:t>
            </a:r>
            <a:r>
              <a:rPr lang="ro-RO" sz="1100" baseline="0">
                <a:solidFill>
                  <a:sysClr val="windowText" lastClr="000000"/>
                </a:solidFill>
              </a:rPr>
              <a:t>ță celula corespunzatoare se coloreaza automat in culoarea galben, iar stocul actual apare scris cu rosu</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rian Lospa" refreshedDate="45317.582001504627" createdVersion="8" refreshedVersion="8" minRefreshableVersion="3" recordCount="23" xr:uid="{00000000-000A-0000-FFFF-FFFF00000000}">
  <cacheSource type="worksheet">
    <worksheetSource name="Table2"/>
  </cacheSource>
  <cacheFields count="6">
    <cacheField name="Produs" numFmtId="0">
      <sharedItems containsBlank="1" count="21">
        <s v="A00010"/>
        <s v="A00011"/>
        <s v="A00012"/>
        <s v="A00013"/>
        <s v="A00014"/>
        <s v="A00015"/>
        <s v="A00016"/>
        <s v="A00017"/>
        <s v="A00018"/>
        <s v="A00019"/>
        <s v="A00020"/>
        <s v="A00001"/>
        <s v="A00002"/>
        <s v="A00003"/>
        <s v="A00004"/>
        <s v="A00005"/>
        <s v="A00006"/>
        <s v="A00007"/>
        <s v="A00008"/>
        <s v="A00009"/>
        <m u="1"/>
      </sharedItems>
    </cacheField>
    <cacheField name="Denumire produs" numFmtId="0">
      <sharedItems containsNonDate="0" containsString="0" containsBlank="1"/>
    </cacheField>
    <cacheField name="Stoc actual" numFmtId="0">
      <sharedItems containsSemiMixedTypes="0" containsString="0" containsNumber="1" containsInteger="1" minValue="1" maxValue="9"/>
    </cacheField>
    <cacheField name="Cost unitar" numFmtId="0">
      <sharedItems containsSemiMixedTypes="0" containsString="0" containsNumber="1" containsInteger="1" minValue="300" maxValue="4500"/>
    </cacheField>
    <cacheField name="Stoc de siguranta" numFmtId="0">
      <sharedItems containsSemiMixedTypes="0" containsString="0" containsNumber="1" containsInteger="1" minValue="3" maxValue="6"/>
    </cacheField>
    <cacheField name="Cost Total" numFmtId="0">
      <sharedItems containsSemiMixedTypes="0" containsString="0" containsNumber="1" containsInteger="1" minValue="300" maxValue="225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x v="0"/>
    <m/>
    <n v="4"/>
    <n v="1000"/>
    <n v="4"/>
    <n v="4000"/>
  </r>
  <r>
    <x v="1"/>
    <m/>
    <n v="5"/>
    <n v="1200"/>
    <n v="5"/>
    <n v="6000"/>
  </r>
  <r>
    <x v="2"/>
    <m/>
    <n v="2"/>
    <n v="300"/>
    <n v="6"/>
    <n v="600"/>
  </r>
  <r>
    <x v="3"/>
    <m/>
    <n v="4"/>
    <n v="4500"/>
    <n v="3"/>
    <n v="18000"/>
  </r>
  <r>
    <x v="4"/>
    <m/>
    <n v="4"/>
    <n v="2000"/>
    <n v="4"/>
    <n v="8000"/>
  </r>
  <r>
    <x v="5"/>
    <m/>
    <n v="5"/>
    <n v="1000"/>
    <n v="5"/>
    <n v="5000"/>
  </r>
  <r>
    <x v="6"/>
    <m/>
    <n v="2"/>
    <n v="1200"/>
    <n v="6"/>
    <n v="2400"/>
  </r>
  <r>
    <x v="7"/>
    <m/>
    <n v="4"/>
    <n v="300"/>
    <n v="3"/>
    <n v="1200"/>
  </r>
  <r>
    <x v="8"/>
    <m/>
    <n v="4"/>
    <n v="4500"/>
    <n v="4"/>
    <n v="18000"/>
  </r>
  <r>
    <x v="9"/>
    <m/>
    <n v="5"/>
    <n v="2000"/>
    <n v="5"/>
    <n v="10000"/>
  </r>
  <r>
    <x v="10"/>
    <m/>
    <n v="2"/>
    <n v="1000"/>
    <n v="6"/>
    <n v="2000"/>
  </r>
  <r>
    <x v="11"/>
    <m/>
    <n v="4"/>
    <n v="1200"/>
    <n v="3"/>
    <n v="4800"/>
  </r>
  <r>
    <x v="12"/>
    <m/>
    <n v="4"/>
    <n v="300"/>
    <n v="4"/>
    <n v="1200"/>
  </r>
  <r>
    <x v="13"/>
    <m/>
    <n v="5"/>
    <n v="4500"/>
    <n v="5"/>
    <n v="22500"/>
  </r>
  <r>
    <x v="14"/>
    <m/>
    <n v="2"/>
    <n v="2000"/>
    <n v="6"/>
    <n v="4000"/>
  </r>
  <r>
    <x v="15"/>
    <m/>
    <n v="2"/>
    <n v="1000"/>
    <n v="3"/>
    <n v="2000"/>
  </r>
  <r>
    <x v="16"/>
    <m/>
    <n v="4"/>
    <n v="1200"/>
    <n v="4"/>
    <n v="4800"/>
  </r>
  <r>
    <x v="17"/>
    <m/>
    <n v="5"/>
    <n v="300"/>
    <n v="5"/>
    <n v="1500"/>
  </r>
  <r>
    <x v="18"/>
    <m/>
    <n v="2"/>
    <n v="4500"/>
    <n v="6"/>
    <n v="9000"/>
  </r>
  <r>
    <x v="19"/>
    <m/>
    <n v="4"/>
    <n v="2000"/>
    <n v="3"/>
    <n v="8000"/>
  </r>
  <r>
    <x v="18"/>
    <m/>
    <n v="7"/>
    <n v="1000"/>
    <n v="6"/>
    <n v="7000"/>
  </r>
  <r>
    <x v="18"/>
    <m/>
    <n v="9"/>
    <n v="1200"/>
    <n v="6"/>
    <n v="10800"/>
  </r>
  <r>
    <x v="5"/>
    <m/>
    <n v="1"/>
    <n v="300"/>
    <n v="5"/>
    <n v="3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3" firstHeaderRow="0" firstDataRow="1" firstDataCol="0"/>
  <pivotFields count="6">
    <pivotField showAll="0"/>
    <pivotField showAll="0"/>
    <pivotField dataField="1" showAll="0"/>
    <pivotField showAll="0"/>
    <pivotField showAll="0"/>
    <pivotField dataField="1" showAll="0"/>
  </pivotFields>
  <rowItems count="1">
    <i/>
  </rowItems>
  <colFields count="1">
    <field x="-2"/>
  </colFields>
  <colItems count="2">
    <i>
      <x/>
    </i>
    <i i="1">
      <x v="1"/>
    </i>
  </colItems>
  <dataFields count="2">
    <dataField name="Sum of Stoc actual" fld="2" baseField="0" baseItem="0"/>
    <dataField name="Sum of Cost Total"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H2:I23" firstHeaderRow="1" firstDataRow="1" firstDataCol="1"/>
  <pivotFields count="6">
    <pivotField axis="axisRow" showAll="0" sortType="descending">
      <items count="22">
        <item m="1" x="20"/>
        <item x="0"/>
        <item x="1"/>
        <item x="2"/>
        <item x="3"/>
        <item x="4"/>
        <item x="5"/>
        <item x="6"/>
        <item x="7"/>
        <item x="8"/>
        <item x="9"/>
        <item x="10"/>
        <item x="11"/>
        <item x="12"/>
        <item x="13"/>
        <item x="14"/>
        <item x="15"/>
        <item x="16"/>
        <item x="17"/>
        <item x="18"/>
        <item x="19"/>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s>
  <rowFields count="1">
    <field x="0"/>
  </rowFields>
  <rowItems count="21">
    <i>
      <x v="19"/>
    </i>
    <i>
      <x v="6"/>
    </i>
    <i>
      <x v="2"/>
    </i>
    <i>
      <x v="18"/>
    </i>
    <i>
      <x v="14"/>
    </i>
    <i>
      <x v="10"/>
    </i>
    <i>
      <x v="5"/>
    </i>
    <i>
      <x v="4"/>
    </i>
    <i>
      <x v="12"/>
    </i>
    <i>
      <x v="8"/>
    </i>
    <i>
      <x v="17"/>
    </i>
    <i>
      <x v="9"/>
    </i>
    <i>
      <x v="20"/>
    </i>
    <i>
      <x v="1"/>
    </i>
    <i>
      <x v="13"/>
    </i>
    <i>
      <x v="3"/>
    </i>
    <i>
      <x v="16"/>
    </i>
    <i>
      <x v="15"/>
    </i>
    <i>
      <x v="7"/>
    </i>
    <i>
      <x v="11"/>
    </i>
    <i t="grand">
      <x/>
    </i>
  </rowItems>
  <colItems count="1">
    <i/>
  </colItems>
  <dataFields count="1">
    <dataField name="Sum of Stoc actual" fld="2" baseField="0" baseItem="7"/>
  </dataField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2:N607" totalsRowCount="1" headerRowDxfId="17" headerRowBorderDxfId="16" tableBorderDxfId="15">
  <autoFilter ref="A2:N606" xr:uid="{00000000-0009-0000-0100-000002000000}"/>
  <tableColumns count="14">
    <tableColumn id="1" xr3:uid="{00000000-0010-0000-0100-000001000000}" name="Produs"/>
    <tableColumn id="14" xr3:uid="{00000000-0010-0000-0100-00000E000000}" name="Column3"/>
    <tableColumn id="6" xr3:uid="{00000000-0010-0000-0100-000006000000}" name=" "/>
    <tableColumn id="2" xr3:uid="{00000000-0010-0000-0100-000002000000}" name="Stoc Depozit" dataDxfId="14" totalsRowDxfId="5"/>
    <tableColumn id="10" xr3:uid="{00000000-0010-0000-0100-00000A000000}" name="Stoc PV individual" dataDxfId="13" totalsRowDxfId="4"/>
    <tableColumn id="13" xr3:uid="{00000000-0010-0000-0100-00000D000000}" name="Column2" dataDxfId="12" totalsRowDxfId="3"/>
    <tableColumn id="3" xr3:uid="{00000000-0010-0000-0100-000003000000}" name="Cost unitar" dataDxfId="11" totalsRowDxfId="2"/>
    <tableColumn id="4" xr3:uid="{00000000-0010-0000-0100-000004000000}" name="Stoc de siguranta" dataDxfId="10" totalsRowDxfId="1"/>
    <tableColumn id="9" xr3:uid="{00000000-0010-0000-0100-000009000000}" name="Column1" dataDxfId="9" totalsRowDxfId="0"/>
    <tableColumn id="5" xr3:uid="{00000000-0010-0000-0100-000005000000}" name="Cost Total" totalsRowFunction="sum" dataDxfId="8">
      <calculatedColumnFormula>Table2[[#This Row],[Cost unitar]]*Table2[[#This Row],[Stoc Depozit]]</calculatedColumnFormula>
    </tableColumn>
    <tableColumn id="7" xr3:uid="{00000000-0010-0000-0100-000007000000}" name="Locatie"/>
    <tableColumn id="11" xr3:uid="{00000000-0010-0000-0100-00000B000000}" name="Predat"/>
    <tableColumn id="12" xr3:uid="{00000000-0010-0000-0100-00000C000000}" name="Data"/>
    <tableColumn id="8" xr3:uid="{00000000-0010-0000-0100-000008000000}" name="Stare functionare"/>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
  <sheetViews>
    <sheetView zoomScale="130" zoomScaleNormal="130" workbookViewId="0">
      <selection activeCell="H11" sqref="H11"/>
    </sheetView>
  </sheetViews>
  <sheetFormatPr defaultRowHeight="15" x14ac:dyDescent="0.25"/>
  <cols>
    <col min="1" max="1" width="17.28515625" bestFit="1" customWidth="1"/>
    <col min="2" max="2" width="16.42578125" bestFit="1" customWidth="1"/>
    <col min="4" max="6" width="20.85546875" customWidth="1"/>
    <col min="8" max="8" width="13.140625" bestFit="1" customWidth="1"/>
    <col min="9" max="9" width="17.28515625" bestFit="1" customWidth="1"/>
  </cols>
  <sheetData>
    <row r="1" spans="1:9" x14ac:dyDescent="0.25">
      <c r="D1" s="11" t="s">
        <v>26</v>
      </c>
      <c r="E1" s="11"/>
      <c r="F1" s="11"/>
    </row>
    <row r="2" spans="1:9" ht="30" x14ac:dyDescent="0.25">
      <c r="A2" t="s">
        <v>27</v>
      </c>
      <c r="B2" t="s">
        <v>31</v>
      </c>
      <c r="D2" s="8" t="s">
        <v>23</v>
      </c>
      <c r="E2" s="9" t="s">
        <v>21</v>
      </c>
      <c r="F2" s="10" t="s">
        <v>22</v>
      </c>
      <c r="H2" s="13" t="s">
        <v>28</v>
      </c>
      <c r="I2" t="s">
        <v>27</v>
      </c>
    </row>
    <row r="3" spans="1:9" x14ac:dyDescent="0.25">
      <c r="A3">
        <v>90</v>
      </c>
      <c r="B3">
        <v>151100</v>
      </c>
      <c r="D3" s="2" t="e">
        <f>SUM(#REF!)</f>
        <v>#REF!</v>
      </c>
      <c r="E3" s="12" t="e">
        <f>SUMIF(#REF!,"&lt;0")</f>
        <v>#REF!</v>
      </c>
      <c r="F3" s="12" t="e">
        <f>SUMIF(#REF!,"&gt;0")</f>
        <v>#REF!</v>
      </c>
      <c r="H3" s="14" t="s">
        <v>7</v>
      </c>
      <c r="I3">
        <v>18</v>
      </c>
    </row>
    <row r="4" spans="1:9" x14ac:dyDescent="0.25">
      <c r="H4" s="14" t="s">
        <v>14</v>
      </c>
      <c r="I4">
        <v>6</v>
      </c>
    </row>
    <row r="5" spans="1:9" x14ac:dyDescent="0.25">
      <c r="H5" s="14" t="s">
        <v>10</v>
      </c>
      <c r="I5">
        <v>5</v>
      </c>
    </row>
    <row r="6" spans="1:9" x14ac:dyDescent="0.25">
      <c r="H6" s="14" t="s">
        <v>6</v>
      </c>
      <c r="I6">
        <v>5</v>
      </c>
    </row>
    <row r="7" spans="1:9" x14ac:dyDescent="0.25">
      <c r="H7" s="14" t="s">
        <v>2</v>
      </c>
      <c r="I7">
        <v>5</v>
      </c>
    </row>
    <row r="8" spans="1:9" x14ac:dyDescent="0.25">
      <c r="H8" s="14" t="s">
        <v>18</v>
      </c>
      <c r="I8">
        <v>5</v>
      </c>
    </row>
    <row r="9" spans="1:9" x14ac:dyDescent="0.25">
      <c r="H9" s="14" t="s">
        <v>13</v>
      </c>
      <c r="I9">
        <v>4</v>
      </c>
    </row>
    <row r="10" spans="1:9" x14ac:dyDescent="0.25">
      <c r="H10" s="14" t="s">
        <v>12</v>
      </c>
      <c r="I10">
        <v>4</v>
      </c>
    </row>
    <row r="11" spans="1:9" x14ac:dyDescent="0.25">
      <c r="H11" s="14" t="s">
        <v>0</v>
      </c>
      <c r="I11">
        <v>4</v>
      </c>
    </row>
    <row r="12" spans="1:9" x14ac:dyDescent="0.25">
      <c r="H12" s="14" t="s">
        <v>16</v>
      </c>
      <c r="I12">
        <v>4</v>
      </c>
    </row>
    <row r="13" spans="1:9" x14ac:dyDescent="0.25">
      <c r="H13" s="14" t="s">
        <v>5</v>
      </c>
      <c r="I13">
        <v>4</v>
      </c>
    </row>
    <row r="14" spans="1:9" x14ac:dyDescent="0.25">
      <c r="H14" s="14" t="s">
        <v>17</v>
      </c>
      <c r="I14">
        <v>4</v>
      </c>
    </row>
    <row r="15" spans="1:9" x14ac:dyDescent="0.25">
      <c r="H15" s="14" t="s">
        <v>8</v>
      </c>
      <c r="I15">
        <v>4</v>
      </c>
    </row>
    <row r="16" spans="1:9" x14ac:dyDescent="0.25">
      <c r="H16" s="14" t="s">
        <v>9</v>
      </c>
      <c r="I16">
        <v>4</v>
      </c>
    </row>
    <row r="17" spans="8:9" x14ac:dyDescent="0.25">
      <c r="H17" s="14" t="s">
        <v>1</v>
      </c>
      <c r="I17">
        <v>4</v>
      </c>
    </row>
    <row r="18" spans="8:9" x14ac:dyDescent="0.25">
      <c r="H18" s="14" t="s">
        <v>11</v>
      </c>
      <c r="I18">
        <v>2</v>
      </c>
    </row>
    <row r="19" spans="8:9" x14ac:dyDescent="0.25">
      <c r="H19" s="14" t="s">
        <v>4</v>
      </c>
      <c r="I19">
        <v>2</v>
      </c>
    </row>
    <row r="20" spans="8:9" x14ac:dyDescent="0.25">
      <c r="H20" s="14" t="s">
        <v>3</v>
      </c>
      <c r="I20">
        <v>2</v>
      </c>
    </row>
    <row r="21" spans="8:9" x14ac:dyDescent="0.25">
      <c r="H21" s="14" t="s">
        <v>15</v>
      </c>
      <c r="I21">
        <v>2</v>
      </c>
    </row>
    <row r="22" spans="8:9" x14ac:dyDescent="0.25">
      <c r="H22" s="14" t="s">
        <v>19</v>
      </c>
      <c r="I22">
        <v>2</v>
      </c>
    </row>
    <row r="23" spans="8:9" x14ac:dyDescent="0.25">
      <c r="H23" s="14" t="s">
        <v>29</v>
      </c>
      <c r="I23">
        <v>90</v>
      </c>
    </row>
  </sheetData>
  <pageMargins left="0.7" right="0.7" top="0.75" bottom="0.75" header="0.3" footer="0.3"/>
  <pageSetup orientation="portrait" horizontalDpi="360" verticalDpi="36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sheetPr>
  <dimension ref="A1:O28"/>
  <sheetViews>
    <sheetView showGridLines="0" zoomScale="130" zoomScaleNormal="130" workbookViewId="0">
      <selection activeCell="L20" sqref="L20"/>
    </sheetView>
  </sheetViews>
  <sheetFormatPr defaultRowHeight="15" x14ac:dyDescent="0.25"/>
  <sheetData>
    <row r="1" spans="1:15" x14ac:dyDescent="0.25">
      <c r="A1" s="3"/>
      <c r="B1" s="17"/>
      <c r="C1" s="17"/>
      <c r="D1" s="17"/>
      <c r="E1" s="17"/>
      <c r="F1" s="17"/>
      <c r="G1" s="17"/>
      <c r="H1" s="17"/>
      <c r="I1" s="17"/>
      <c r="J1" s="17"/>
      <c r="K1" s="17"/>
      <c r="L1" s="17"/>
      <c r="M1" s="17"/>
      <c r="N1" s="17"/>
      <c r="O1" s="4"/>
    </row>
    <row r="2" spans="1:15" x14ac:dyDescent="0.25">
      <c r="A2" s="5"/>
      <c r="O2" s="6"/>
    </row>
    <row r="3" spans="1:15" x14ac:dyDescent="0.25">
      <c r="A3" s="5"/>
      <c r="O3" s="6"/>
    </row>
    <row r="4" spans="1:15" x14ac:dyDescent="0.25">
      <c r="A4" s="5"/>
      <c r="O4" s="6"/>
    </row>
    <row r="5" spans="1:15" x14ac:dyDescent="0.25">
      <c r="A5" s="5"/>
      <c r="C5" t="s">
        <v>32</v>
      </c>
      <c r="O5" s="6"/>
    </row>
    <row r="6" spans="1:15" x14ac:dyDescent="0.25">
      <c r="A6" s="5"/>
      <c r="O6" s="6"/>
    </row>
    <row r="7" spans="1:15" x14ac:dyDescent="0.25">
      <c r="A7" s="5"/>
      <c r="O7" s="6"/>
    </row>
    <row r="8" spans="1:15" x14ac:dyDescent="0.25">
      <c r="A8" s="5"/>
      <c r="O8" s="6"/>
    </row>
    <row r="9" spans="1:15" x14ac:dyDescent="0.25">
      <c r="A9" s="5"/>
      <c r="O9" s="6"/>
    </row>
    <row r="10" spans="1:15" x14ac:dyDescent="0.25">
      <c r="A10" s="5"/>
      <c r="O10" s="6"/>
    </row>
    <row r="11" spans="1:15" x14ac:dyDescent="0.25">
      <c r="A11" s="5"/>
      <c r="O11" s="6"/>
    </row>
    <row r="12" spans="1:15" x14ac:dyDescent="0.25">
      <c r="A12" s="5"/>
      <c r="O12" s="6"/>
    </row>
    <row r="13" spans="1:15" x14ac:dyDescent="0.25">
      <c r="A13" s="5"/>
      <c r="O13" s="6"/>
    </row>
    <row r="14" spans="1:15" x14ac:dyDescent="0.25">
      <c r="A14" s="5"/>
      <c r="O14" s="6"/>
    </row>
    <row r="15" spans="1:15" x14ac:dyDescent="0.25">
      <c r="A15" s="5"/>
      <c r="O15" s="6"/>
    </row>
    <row r="16" spans="1:15" x14ac:dyDescent="0.25">
      <c r="A16" s="5"/>
      <c r="O16" s="6"/>
    </row>
    <row r="17" spans="1:15" x14ac:dyDescent="0.25">
      <c r="A17" s="5"/>
      <c r="O17" s="6"/>
    </row>
    <row r="18" spans="1:15" x14ac:dyDescent="0.25">
      <c r="A18" s="5"/>
      <c r="O18" s="6"/>
    </row>
    <row r="19" spans="1:15" x14ac:dyDescent="0.25">
      <c r="A19" s="5"/>
      <c r="O19" s="6"/>
    </row>
    <row r="20" spans="1:15" x14ac:dyDescent="0.25">
      <c r="A20" s="5"/>
      <c r="O20" s="6"/>
    </row>
    <row r="21" spans="1:15" x14ac:dyDescent="0.25">
      <c r="A21" s="5"/>
      <c r="O21" s="6"/>
    </row>
    <row r="22" spans="1:15" x14ac:dyDescent="0.25">
      <c r="A22" s="5"/>
      <c r="O22" s="6"/>
    </row>
    <row r="23" spans="1:15" x14ac:dyDescent="0.25">
      <c r="A23" s="5"/>
      <c r="O23" s="6"/>
    </row>
    <row r="24" spans="1:15" x14ac:dyDescent="0.25">
      <c r="A24" s="5"/>
      <c r="O24" s="6"/>
    </row>
    <row r="25" spans="1:15" x14ac:dyDescent="0.25">
      <c r="A25" s="5"/>
      <c r="O25" s="6"/>
    </row>
    <row r="26" spans="1:15" x14ac:dyDescent="0.25">
      <c r="A26" s="5"/>
      <c r="O26" s="6"/>
    </row>
    <row r="27" spans="1:15" x14ac:dyDescent="0.25">
      <c r="A27" s="5"/>
      <c r="O27" s="6"/>
    </row>
    <row r="28" spans="1:15" x14ac:dyDescent="0.25">
      <c r="A28" s="7"/>
      <c r="B28" s="18"/>
      <c r="C28" s="18"/>
      <c r="D28" s="18"/>
      <c r="E28" s="18"/>
      <c r="F28" s="18"/>
      <c r="G28" s="18"/>
      <c r="H28" s="18"/>
      <c r="I28" s="18"/>
      <c r="J28" s="18"/>
      <c r="K28" s="18"/>
      <c r="L28" s="18"/>
      <c r="M28" s="18"/>
      <c r="N28" s="18"/>
      <c r="O28" s="19"/>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67D1BA"/>
  </sheetPr>
  <dimension ref="A1:N612"/>
  <sheetViews>
    <sheetView tabSelected="1" topLeftCell="A521" zoomScale="115" zoomScaleNormal="115" workbookViewId="0">
      <selection activeCell="L544" sqref="L544"/>
    </sheetView>
  </sheetViews>
  <sheetFormatPr defaultRowHeight="15" x14ac:dyDescent="0.25"/>
  <cols>
    <col min="1" max="1" width="18.28515625" customWidth="1"/>
    <col min="2" max="2" width="18.28515625" hidden="1" customWidth="1"/>
    <col min="3" max="3" width="74.5703125" bestFit="1" customWidth="1"/>
    <col min="4" max="4" width="10.85546875" customWidth="1"/>
    <col min="5" max="5" width="21.5703125" bestFit="1" customWidth="1"/>
    <col min="6" max="6" width="10.85546875" customWidth="1"/>
    <col min="7" max="7" width="8.42578125" customWidth="1"/>
    <col min="8" max="8" width="0.5703125" style="1" customWidth="1"/>
    <col min="9" max="9" width="0.140625" style="1" hidden="1" customWidth="1"/>
    <col min="10" max="10" width="0.140625" hidden="1" customWidth="1"/>
    <col min="11" max="11" width="25.5703125" customWidth="1"/>
    <col min="12" max="13" width="19.85546875" customWidth="1"/>
    <col min="14" max="14" width="18.7109375" bestFit="1" customWidth="1"/>
  </cols>
  <sheetData>
    <row r="1" spans="1:14" x14ac:dyDescent="0.25">
      <c r="A1" s="186" t="s">
        <v>33</v>
      </c>
      <c r="B1" s="186"/>
      <c r="C1" s="186"/>
      <c r="D1" s="186"/>
      <c r="E1" s="186"/>
      <c r="F1" s="186"/>
      <c r="G1" s="186"/>
      <c r="H1" s="186"/>
      <c r="I1" s="186"/>
      <c r="J1" s="186"/>
      <c r="K1" t="s">
        <v>42</v>
      </c>
    </row>
    <row r="2" spans="1:14" ht="27" customHeight="1" x14ac:dyDescent="0.25">
      <c r="A2" s="37" t="s">
        <v>24</v>
      </c>
      <c r="B2" s="43" t="s">
        <v>908</v>
      </c>
      <c r="C2" s="16" t="s">
        <v>611</v>
      </c>
      <c r="D2" s="38" t="s">
        <v>905</v>
      </c>
      <c r="E2" s="38" t="s">
        <v>907</v>
      </c>
      <c r="F2" s="38" t="s">
        <v>906</v>
      </c>
      <c r="G2" s="38" t="s">
        <v>20</v>
      </c>
      <c r="H2" s="39" t="s">
        <v>25</v>
      </c>
      <c r="I2" s="40" t="s">
        <v>138</v>
      </c>
      <c r="J2" s="41" t="s">
        <v>30</v>
      </c>
      <c r="K2" s="20" t="s">
        <v>44</v>
      </c>
      <c r="L2" s="20" t="s">
        <v>821</v>
      </c>
      <c r="M2" s="20" t="s">
        <v>830</v>
      </c>
      <c r="N2" s="42" t="s">
        <v>45</v>
      </c>
    </row>
    <row r="3" spans="1:14" x14ac:dyDescent="0.25">
      <c r="A3" s="21" t="s">
        <v>47</v>
      </c>
      <c r="B3" s="21" t="s">
        <v>47</v>
      </c>
      <c r="C3" s="21" t="s">
        <v>46</v>
      </c>
      <c r="D3" s="22">
        <v>0</v>
      </c>
      <c r="E3" s="22">
        <v>0</v>
      </c>
      <c r="F3" s="22"/>
      <c r="G3" s="22"/>
      <c r="H3" s="23">
        <v>0</v>
      </c>
      <c r="I3" s="23"/>
      <c r="J3" s="21">
        <f>Table2[[#This Row],[Cost unitar]]*Table2[[#This Row],[Stoc Depozit]]</f>
        <v>0</v>
      </c>
      <c r="K3" s="21" t="s">
        <v>49</v>
      </c>
      <c r="N3" t="s">
        <v>67</v>
      </c>
    </row>
    <row r="4" spans="1:14" x14ac:dyDescent="0.25">
      <c r="A4" s="21" t="s">
        <v>48</v>
      </c>
      <c r="B4" s="21" t="s">
        <v>48</v>
      </c>
      <c r="C4" s="21" t="s">
        <v>50</v>
      </c>
      <c r="D4" s="22">
        <v>0</v>
      </c>
      <c r="E4" s="22">
        <v>0</v>
      </c>
      <c r="F4" s="22"/>
      <c r="G4" s="22"/>
      <c r="H4" s="23">
        <v>0</v>
      </c>
      <c r="I4" s="23"/>
      <c r="J4" s="21">
        <f>Table2[[#This Row],[Cost unitar]]*Table2[[#This Row],[Stoc Depozit]]</f>
        <v>0</v>
      </c>
      <c r="K4" s="21" t="s">
        <v>49</v>
      </c>
      <c r="N4" t="s">
        <v>67</v>
      </c>
    </row>
    <row r="5" spans="1:14" x14ac:dyDescent="0.25">
      <c r="A5" s="21" t="s">
        <v>52</v>
      </c>
      <c r="B5" s="21" t="s">
        <v>52</v>
      </c>
      <c r="C5" s="21" t="s">
        <v>51</v>
      </c>
      <c r="D5" s="22">
        <v>0</v>
      </c>
      <c r="E5" s="22">
        <v>0</v>
      </c>
      <c r="F5" s="22"/>
      <c r="G5" s="22"/>
      <c r="H5" s="23">
        <v>0</v>
      </c>
      <c r="I5" s="23"/>
      <c r="J5" s="21">
        <f>Table2[[#This Row],[Cost unitar]]*Table2[[#This Row],[Stoc Depozit]]</f>
        <v>0</v>
      </c>
      <c r="K5" s="21" t="s">
        <v>823</v>
      </c>
      <c r="L5" t="s">
        <v>824</v>
      </c>
      <c r="M5" s="34">
        <v>46055</v>
      </c>
      <c r="N5" t="s">
        <v>67</v>
      </c>
    </row>
    <row r="6" spans="1:14" x14ac:dyDescent="0.25">
      <c r="A6" s="21" t="s">
        <v>53</v>
      </c>
      <c r="B6" s="21" t="s">
        <v>53</v>
      </c>
      <c r="C6" s="21" t="s">
        <v>54</v>
      </c>
      <c r="D6" s="22">
        <v>0</v>
      </c>
      <c r="E6" s="22">
        <v>0</v>
      </c>
      <c r="F6" s="22"/>
      <c r="G6" s="22"/>
      <c r="H6" s="23">
        <v>0</v>
      </c>
      <c r="I6" s="23"/>
      <c r="J6" s="21">
        <f>Table2[[#This Row],[Cost unitar]]*Table2[[#This Row],[Stoc Depozit]]</f>
        <v>0</v>
      </c>
      <c r="K6" s="21" t="s">
        <v>823</v>
      </c>
      <c r="L6" t="s">
        <v>824</v>
      </c>
      <c r="M6" s="34">
        <v>46055</v>
      </c>
      <c r="N6" t="s">
        <v>67</v>
      </c>
    </row>
    <row r="7" spans="1:14" x14ac:dyDescent="0.25">
      <c r="A7" s="21" t="s">
        <v>57</v>
      </c>
      <c r="B7" s="21" t="s">
        <v>57</v>
      </c>
      <c r="C7" s="21" t="s">
        <v>55</v>
      </c>
      <c r="D7" s="22">
        <v>0</v>
      </c>
      <c r="E7" s="22">
        <v>0</v>
      </c>
      <c r="F7" s="22"/>
      <c r="G7" s="22"/>
      <c r="H7" s="23">
        <v>0</v>
      </c>
      <c r="I7" s="23"/>
      <c r="J7" s="21">
        <f>Table2[[#This Row],[Cost unitar]]*Table2[[#This Row],[Stoc Depozit]]</f>
        <v>0</v>
      </c>
      <c r="K7" s="21" t="s">
        <v>160</v>
      </c>
      <c r="L7" t="s">
        <v>827</v>
      </c>
      <c r="N7" t="s">
        <v>67</v>
      </c>
    </row>
    <row r="8" spans="1:14" x14ac:dyDescent="0.25">
      <c r="A8" s="21" t="s">
        <v>58</v>
      </c>
      <c r="B8" s="21" t="s">
        <v>58</v>
      </c>
      <c r="C8" s="21" t="s">
        <v>56</v>
      </c>
      <c r="D8" s="22">
        <v>1</v>
      </c>
      <c r="E8" s="22">
        <v>0</v>
      </c>
      <c r="F8" s="22"/>
      <c r="G8" s="22"/>
      <c r="H8" s="23">
        <v>0</v>
      </c>
      <c r="I8" s="23"/>
      <c r="J8" s="21">
        <f>Table2[[#This Row],[Cost unitar]]*Table2[[#This Row],[Stoc Depozit]]</f>
        <v>0</v>
      </c>
      <c r="K8" s="21" t="s">
        <v>49</v>
      </c>
      <c r="N8" t="s">
        <v>67</v>
      </c>
    </row>
    <row r="9" spans="1:14" x14ac:dyDescent="0.25">
      <c r="A9" s="21" t="s">
        <v>59</v>
      </c>
      <c r="B9" s="21" t="s">
        <v>59</v>
      </c>
      <c r="C9" s="21" t="s">
        <v>60</v>
      </c>
      <c r="D9" s="22">
        <v>1</v>
      </c>
      <c r="E9" s="22">
        <v>0</v>
      </c>
      <c r="F9" s="22"/>
      <c r="G9" s="22"/>
      <c r="H9" s="23"/>
      <c r="I9" s="23"/>
      <c r="J9" s="21">
        <f>Table2[[#This Row],[Cost unitar]]*Table2[[#This Row],[Stoc Depozit]]</f>
        <v>0</v>
      </c>
      <c r="K9" s="21" t="s">
        <v>49</v>
      </c>
      <c r="N9" t="s">
        <v>67</v>
      </c>
    </row>
    <row r="10" spans="1:14" x14ac:dyDescent="0.25">
      <c r="A10" s="21" t="s">
        <v>62</v>
      </c>
      <c r="B10" s="21" t="s">
        <v>62</v>
      </c>
      <c r="C10" s="21" t="s">
        <v>61</v>
      </c>
      <c r="D10" s="22">
        <v>1</v>
      </c>
      <c r="E10" s="22">
        <v>0</v>
      </c>
      <c r="F10" s="22"/>
      <c r="G10" s="22"/>
      <c r="H10" s="23"/>
      <c r="I10" s="23"/>
      <c r="J10" s="21">
        <f>Table2[[#This Row],[Cost unitar]]*Table2[[#This Row],[Stoc Depozit]]</f>
        <v>0</v>
      </c>
      <c r="K10" s="21" t="s">
        <v>49</v>
      </c>
      <c r="N10" t="s">
        <v>67</v>
      </c>
    </row>
    <row r="11" spans="1:14" x14ac:dyDescent="0.25">
      <c r="A11" s="21" t="s">
        <v>63</v>
      </c>
      <c r="B11" s="21" t="s">
        <v>63</v>
      </c>
      <c r="C11" s="21" t="s">
        <v>64</v>
      </c>
      <c r="D11" s="22">
        <v>1</v>
      </c>
      <c r="E11" s="22">
        <v>0</v>
      </c>
      <c r="F11" s="22"/>
      <c r="G11" s="22"/>
      <c r="H11" s="23"/>
      <c r="I11" s="23"/>
      <c r="J11" s="21">
        <f>Table2[[#This Row],[Cost unitar]]*Table2[[#This Row],[Stoc Depozit]]</f>
        <v>0</v>
      </c>
      <c r="K11" s="21" t="s">
        <v>49</v>
      </c>
      <c r="N11" t="s">
        <v>67</v>
      </c>
    </row>
    <row r="12" spans="1:14" x14ac:dyDescent="0.25">
      <c r="A12" s="21" t="s">
        <v>68</v>
      </c>
      <c r="B12" s="21" t="s">
        <v>68</v>
      </c>
      <c r="C12" s="21" t="s">
        <v>65</v>
      </c>
      <c r="D12" s="22">
        <v>0</v>
      </c>
      <c r="E12" s="22">
        <v>0</v>
      </c>
      <c r="F12" s="22"/>
      <c r="G12" s="22"/>
      <c r="H12" s="23"/>
      <c r="I12" s="23"/>
      <c r="J12" s="21">
        <f>Table2[[#This Row],[Cost unitar]]*Table2[[#This Row],[Stoc Depozit]]</f>
        <v>0</v>
      </c>
      <c r="K12" s="21" t="s">
        <v>1279</v>
      </c>
      <c r="L12" t="s">
        <v>962</v>
      </c>
      <c r="N12" t="s">
        <v>67</v>
      </c>
    </row>
    <row r="13" spans="1:14" x14ac:dyDescent="0.25">
      <c r="A13" s="21" t="s">
        <v>69</v>
      </c>
      <c r="B13" s="21" t="s">
        <v>69</v>
      </c>
      <c r="C13" s="21" t="s">
        <v>66</v>
      </c>
      <c r="D13" s="22">
        <v>1</v>
      </c>
      <c r="E13" s="22">
        <v>0</v>
      </c>
      <c r="F13" s="22"/>
      <c r="G13" s="22"/>
      <c r="H13" s="23"/>
      <c r="I13" s="23"/>
      <c r="J13" s="21">
        <f>Table2[[#This Row],[Cost unitar]]*Table2[[#This Row],[Stoc Depozit]]</f>
        <v>0</v>
      </c>
      <c r="K13" s="21" t="s">
        <v>49</v>
      </c>
      <c r="N13" t="s">
        <v>67</v>
      </c>
    </row>
    <row r="14" spans="1:14" x14ac:dyDescent="0.25">
      <c r="A14" s="21" t="s">
        <v>73</v>
      </c>
      <c r="B14" s="21" t="s">
        <v>73</v>
      </c>
      <c r="C14" s="21" t="s">
        <v>74</v>
      </c>
      <c r="D14" s="22">
        <v>1</v>
      </c>
      <c r="E14" s="22">
        <v>0</v>
      </c>
      <c r="F14" s="22"/>
      <c r="G14" s="22"/>
      <c r="H14" s="23"/>
      <c r="I14" s="23"/>
      <c r="J14" s="21">
        <f>Table2[[#This Row],[Cost unitar]]*Table2[[#This Row],[Stoc Depozit]]</f>
        <v>0</v>
      </c>
      <c r="K14" s="21" t="s">
        <v>71</v>
      </c>
    </row>
    <row r="15" spans="1:14" x14ac:dyDescent="0.25">
      <c r="A15" s="21" t="s">
        <v>72</v>
      </c>
      <c r="B15" s="21" t="s">
        <v>72</v>
      </c>
      <c r="C15" s="21" t="s">
        <v>70</v>
      </c>
      <c r="D15" s="22">
        <v>1</v>
      </c>
      <c r="E15" s="22">
        <v>0</v>
      </c>
      <c r="F15" s="22"/>
      <c r="G15" s="22"/>
      <c r="H15" s="23"/>
      <c r="I15" s="23"/>
      <c r="J15" s="21">
        <f>Table2[[#This Row],[Cost unitar]]*Table2[[#This Row],[Stoc Depozit]]</f>
        <v>0</v>
      </c>
      <c r="K15" s="21" t="s">
        <v>71</v>
      </c>
      <c r="N15" t="s">
        <v>67</v>
      </c>
    </row>
    <row r="16" spans="1:14" x14ac:dyDescent="0.25">
      <c r="A16" s="21" t="s">
        <v>75</v>
      </c>
      <c r="B16" s="21" t="s">
        <v>75</v>
      </c>
      <c r="C16" s="21" t="s">
        <v>77</v>
      </c>
      <c r="D16" s="22">
        <v>1</v>
      </c>
      <c r="E16" s="22">
        <v>0</v>
      </c>
      <c r="F16" s="22"/>
      <c r="G16" s="22"/>
      <c r="H16" s="23"/>
      <c r="I16" s="23"/>
      <c r="J16" s="21">
        <f>Table2[[#This Row],[Cost unitar]]*Table2[[#This Row],[Stoc Depozit]]</f>
        <v>0</v>
      </c>
      <c r="K16" s="21" t="s">
        <v>78</v>
      </c>
    </row>
    <row r="17" spans="1:12" x14ac:dyDescent="0.25">
      <c r="A17" s="21" t="s">
        <v>76</v>
      </c>
      <c r="B17" s="21" t="s">
        <v>76</v>
      </c>
      <c r="C17" s="21" t="s">
        <v>79</v>
      </c>
      <c r="D17" s="22">
        <v>0</v>
      </c>
      <c r="E17" s="22">
        <v>0</v>
      </c>
      <c r="F17" s="22"/>
      <c r="G17" s="22"/>
      <c r="H17" s="23"/>
      <c r="I17" s="23"/>
      <c r="J17" s="21">
        <f>Table2[[#This Row],[Cost unitar]]*Table2[[#This Row],[Stoc Depozit]]</f>
        <v>0</v>
      </c>
      <c r="K17" s="21" t="s">
        <v>81</v>
      </c>
      <c r="L17" t="s">
        <v>822</v>
      </c>
    </row>
    <row r="18" spans="1:12" x14ac:dyDescent="0.25">
      <c r="A18" s="21" t="s">
        <v>86</v>
      </c>
      <c r="B18" s="21" t="s">
        <v>86</v>
      </c>
      <c r="C18" s="21" t="s">
        <v>80</v>
      </c>
      <c r="D18" s="22">
        <v>1</v>
      </c>
      <c r="E18" s="22">
        <v>0</v>
      </c>
      <c r="F18" s="22"/>
      <c r="G18" s="22"/>
      <c r="H18" s="23"/>
      <c r="I18" s="23"/>
      <c r="J18" s="21">
        <f>Table2[[#This Row],[Cost unitar]]*Table2[[#This Row],[Stoc Depozit]]</f>
        <v>0</v>
      </c>
      <c r="K18" s="21" t="s">
        <v>83</v>
      </c>
    </row>
    <row r="19" spans="1:12" x14ac:dyDescent="0.25">
      <c r="A19" s="21" t="s">
        <v>84</v>
      </c>
      <c r="B19" s="21" t="s">
        <v>84</v>
      </c>
      <c r="C19" s="21" t="s">
        <v>80</v>
      </c>
      <c r="D19" s="22">
        <v>1</v>
      </c>
      <c r="E19" s="22">
        <v>0</v>
      </c>
      <c r="F19" s="22"/>
      <c r="G19" s="22"/>
      <c r="H19" s="23"/>
      <c r="I19" s="23"/>
      <c r="J19" s="21">
        <f>Table2[[#This Row],[Cost unitar]]*Table2[[#This Row],[Stoc Depozit]]</f>
        <v>0</v>
      </c>
      <c r="K19" s="21" t="s">
        <v>83</v>
      </c>
    </row>
    <row r="20" spans="1:12" x14ac:dyDescent="0.25">
      <c r="A20" s="21" t="s">
        <v>85</v>
      </c>
      <c r="B20" s="21" t="s">
        <v>85</v>
      </c>
      <c r="C20" s="21" t="s">
        <v>82</v>
      </c>
      <c r="D20" s="22">
        <v>1</v>
      </c>
      <c r="E20" s="22">
        <v>0</v>
      </c>
      <c r="F20" s="22"/>
      <c r="G20" s="22"/>
      <c r="H20" s="23"/>
      <c r="I20" s="23"/>
      <c r="J20" s="21">
        <f>Table2[[#This Row],[Cost unitar]]*Table2[[#This Row],[Stoc Depozit]]</f>
        <v>0</v>
      </c>
      <c r="K20" s="21" t="s">
        <v>83</v>
      </c>
    </row>
    <row r="21" spans="1:12" x14ac:dyDescent="0.25">
      <c r="A21" s="21" t="s">
        <v>87</v>
      </c>
      <c r="B21" s="21" t="s">
        <v>87</v>
      </c>
      <c r="C21" s="32" t="s">
        <v>88</v>
      </c>
      <c r="D21" s="22">
        <v>1</v>
      </c>
      <c r="E21" s="22">
        <v>0</v>
      </c>
      <c r="F21" s="22"/>
      <c r="G21" s="22"/>
      <c r="H21" s="23"/>
      <c r="I21" s="23"/>
      <c r="J21" s="21">
        <f>Table2[[#This Row],[Cost unitar]]*Table2[[#This Row],[Stoc Depozit]]</f>
        <v>0</v>
      </c>
      <c r="K21" s="21" t="s">
        <v>83</v>
      </c>
    </row>
    <row r="22" spans="1:12" x14ac:dyDescent="0.25">
      <c r="A22" s="21" t="s">
        <v>800</v>
      </c>
      <c r="B22" s="21" t="s">
        <v>800</v>
      </c>
      <c r="C22" s="32" t="s">
        <v>132</v>
      </c>
      <c r="D22" s="22">
        <v>1</v>
      </c>
      <c r="E22" s="22">
        <v>0</v>
      </c>
      <c r="F22" s="22"/>
      <c r="G22" s="22"/>
      <c r="H22" s="23"/>
      <c r="I22" s="23"/>
      <c r="J22" s="21">
        <f>Table2[[#This Row],[Cost unitar]]*Table2[[#This Row],[Stoc Depozit]]</f>
        <v>0</v>
      </c>
      <c r="K22" s="21" t="s">
        <v>83</v>
      </c>
    </row>
    <row r="23" spans="1:12" x14ac:dyDescent="0.25">
      <c r="A23" s="21" t="s">
        <v>801</v>
      </c>
      <c r="B23" s="21" t="s">
        <v>801</v>
      </c>
      <c r="C23" s="32" t="s">
        <v>132</v>
      </c>
      <c r="D23" s="22">
        <v>1</v>
      </c>
      <c r="E23" s="22">
        <v>0</v>
      </c>
      <c r="F23" s="22"/>
      <c r="G23" s="22"/>
      <c r="H23" s="23"/>
      <c r="I23" s="23"/>
      <c r="J23" s="21">
        <f>Table2[[#This Row],[Cost unitar]]*Table2[[#This Row],[Stoc Depozit]]</f>
        <v>0</v>
      </c>
      <c r="K23" s="21" t="s">
        <v>83</v>
      </c>
    </row>
    <row r="24" spans="1:12" x14ac:dyDescent="0.25">
      <c r="A24" s="21" t="s">
        <v>802</v>
      </c>
      <c r="B24" s="21" t="s">
        <v>802</v>
      </c>
      <c r="C24" s="32" t="s">
        <v>710</v>
      </c>
      <c r="D24" s="22">
        <v>1</v>
      </c>
      <c r="E24" s="22">
        <v>0</v>
      </c>
      <c r="F24" s="22"/>
      <c r="G24" s="22"/>
      <c r="H24" s="23"/>
      <c r="I24" s="23"/>
      <c r="J24" s="21">
        <f>Table2[[#This Row],[Cost unitar]]*Table2[[#This Row],[Stoc Depozit]]</f>
        <v>0</v>
      </c>
      <c r="K24" s="21" t="s">
        <v>83</v>
      </c>
    </row>
    <row r="25" spans="1:12" x14ac:dyDescent="0.25">
      <c r="A25" s="21" t="s">
        <v>803</v>
      </c>
      <c r="B25" s="21" t="s">
        <v>803</v>
      </c>
      <c r="C25" s="32" t="s">
        <v>710</v>
      </c>
      <c r="D25" s="22">
        <v>1</v>
      </c>
      <c r="E25" s="22">
        <v>0</v>
      </c>
      <c r="F25" s="22"/>
      <c r="G25" s="22"/>
      <c r="H25" s="23"/>
      <c r="I25" s="23"/>
      <c r="J25" s="21">
        <f>Table2[[#This Row],[Cost unitar]]*Table2[[#This Row],[Stoc Depozit]]</f>
        <v>0</v>
      </c>
      <c r="K25" s="21" t="s">
        <v>83</v>
      </c>
    </row>
    <row r="26" spans="1:12" x14ac:dyDescent="0.25">
      <c r="A26" s="21" t="s">
        <v>804</v>
      </c>
      <c r="B26" s="21" t="s">
        <v>804</v>
      </c>
      <c r="C26" s="32" t="s">
        <v>710</v>
      </c>
      <c r="D26" s="22">
        <v>1</v>
      </c>
      <c r="E26" s="22">
        <v>0</v>
      </c>
      <c r="F26" s="22"/>
      <c r="G26" s="22"/>
      <c r="H26" s="23"/>
      <c r="I26" s="23"/>
      <c r="J26" s="21">
        <f>Table2[[#This Row],[Cost unitar]]*Table2[[#This Row],[Stoc Depozit]]</f>
        <v>0</v>
      </c>
      <c r="K26" s="21" t="s">
        <v>83</v>
      </c>
    </row>
    <row r="27" spans="1:12" x14ac:dyDescent="0.25">
      <c r="A27" s="21" t="s">
        <v>805</v>
      </c>
      <c r="B27" s="21" t="s">
        <v>805</v>
      </c>
      <c r="C27" s="32" t="s">
        <v>797</v>
      </c>
      <c r="D27" s="22">
        <v>1</v>
      </c>
      <c r="E27" s="22">
        <v>0</v>
      </c>
      <c r="F27" s="22"/>
      <c r="G27" s="22"/>
      <c r="H27" s="23"/>
      <c r="I27" s="23"/>
      <c r="J27" s="21">
        <f>Table2[[#This Row],[Cost unitar]]*Table2[[#This Row],[Stoc Depozit]]</f>
        <v>0</v>
      </c>
      <c r="K27" s="21" t="s">
        <v>83</v>
      </c>
    </row>
    <row r="28" spans="1:12" x14ac:dyDescent="0.25">
      <c r="A28" s="21" t="s">
        <v>806</v>
      </c>
      <c r="B28" s="21" t="s">
        <v>806</v>
      </c>
      <c r="C28" s="32" t="s">
        <v>798</v>
      </c>
      <c r="D28" s="22">
        <v>1</v>
      </c>
      <c r="E28" s="22">
        <v>0</v>
      </c>
      <c r="F28" s="22"/>
      <c r="G28" s="22"/>
      <c r="H28" s="23"/>
      <c r="I28" s="23"/>
      <c r="J28" s="21">
        <f>Table2[[#This Row],[Cost unitar]]*Table2[[#This Row],[Stoc Depozit]]</f>
        <v>0</v>
      </c>
      <c r="K28" s="21" t="s">
        <v>83</v>
      </c>
    </row>
    <row r="29" spans="1:12" x14ac:dyDescent="0.25">
      <c r="A29" s="21" t="s">
        <v>807</v>
      </c>
      <c r="B29" s="21" t="s">
        <v>807</v>
      </c>
      <c r="C29" s="32" t="s">
        <v>799</v>
      </c>
      <c r="D29" s="22">
        <v>1</v>
      </c>
      <c r="E29" s="22">
        <v>0</v>
      </c>
      <c r="F29" s="22"/>
      <c r="G29" s="22"/>
      <c r="H29" s="23"/>
      <c r="I29" s="23"/>
      <c r="J29" s="21">
        <f>Table2[[#This Row],[Cost unitar]]*Table2[[#This Row],[Stoc Depozit]]</f>
        <v>0</v>
      </c>
      <c r="K29" s="21" t="s">
        <v>83</v>
      </c>
    </row>
    <row r="30" spans="1:12" x14ac:dyDescent="0.25">
      <c r="A30" s="21" t="s">
        <v>91</v>
      </c>
      <c r="B30" s="21" t="s">
        <v>91</v>
      </c>
      <c r="C30" s="21" t="s">
        <v>90</v>
      </c>
      <c r="D30" s="22">
        <v>1</v>
      </c>
      <c r="E30" s="22">
        <v>0</v>
      </c>
      <c r="F30" s="22"/>
      <c r="G30" s="22"/>
      <c r="H30" s="23"/>
      <c r="I30" s="23"/>
      <c r="J30" s="21">
        <f>Table2[[#This Row],[Cost unitar]]*Table2[[#This Row],[Stoc Depozit]]</f>
        <v>0</v>
      </c>
      <c r="K30" s="21" t="s">
        <v>94</v>
      </c>
    </row>
    <row r="31" spans="1:12" x14ac:dyDescent="0.25">
      <c r="A31" s="21" t="s">
        <v>89</v>
      </c>
      <c r="B31" s="21" t="s">
        <v>89</v>
      </c>
      <c r="C31" s="33" t="s">
        <v>88</v>
      </c>
      <c r="D31" s="22">
        <v>1</v>
      </c>
      <c r="E31" s="22">
        <v>0</v>
      </c>
      <c r="F31" s="22"/>
      <c r="G31" s="22"/>
      <c r="H31" s="23"/>
      <c r="I31" s="23"/>
      <c r="J31" s="21">
        <f>Table2[[#This Row],[Cost unitar]]*Table2[[#This Row],[Stoc Depozit]]</f>
        <v>0</v>
      </c>
      <c r="K31" s="21" t="s">
        <v>94</v>
      </c>
    </row>
    <row r="32" spans="1:12" x14ac:dyDescent="0.25">
      <c r="A32" s="21" t="s">
        <v>812</v>
      </c>
      <c r="B32" s="21" t="s">
        <v>812</v>
      </c>
      <c r="C32" s="33" t="s">
        <v>808</v>
      </c>
      <c r="D32" s="22">
        <v>1</v>
      </c>
      <c r="E32" s="22">
        <v>0</v>
      </c>
      <c r="F32" s="22"/>
      <c r="G32" s="22"/>
      <c r="H32" s="23"/>
      <c r="I32" s="23"/>
      <c r="J32" s="21">
        <f>Table2[[#This Row],[Cost unitar]]*Table2[[#This Row],[Stoc Depozit]]</f>
        <v>0</v>
      </c>
      <c r="K32" s="21" t="s">
        <v>94</v>
      </c>
    </row>
    <row r="33" spans="1:11" x14ac:dyDescent="0.25">
      <c r="A33" s="21" t="s">
        <v>813</v>
      </c>
      <c r="B33" s="21" t="s">
        <v>813</v>
      </c>
      <c r="C33" s="33" t="s">
        <v>808</v>
      </c>
      <c r="D33" s="22">
        <v>1</v>
      </c>
      <c r="E33" s="22">
        <v>0</v>
      </c>
      <c r="F33" s="22"/>
      <c r="G33" s="22"/>
      <c r="H33" s="23"/>
      <c r="I33" s="23"/>
      <c r="J33" s="21">
        <f>Table2[[#This Row],[Cost unitar]]*Table2[[#This Row],[Stoc Depozit]]</f>
        <v>0</v>
      </c>
      <c r="K33" s="21" t="s">
        <v>94</v>
      </c>
    </row>
    <row r="34" spans="1:11" x14ac:dyDescent="0.25">
      <c r="A34" s="21" t="s">
        <v>814</v>
      </c>
      <c r="B34" s="21" t="s">
        <v>814</v>
      </c>
      <c r="C34" s="33" t="s">
        <v>808</v>
      </c>
      <c r="D34" s="22">
        <v>1</v>
      </c>
      <c r="E34" s="22">
        <v>0</v>
      </c>
      <c r="F34" s="22"/>
      <c r="G34" s="22"/>
      <c r="H34" s="23"/>
      <c r="I34" s="23"/>
      <c r="J34" s="21">
        <f>Table2[[#This Row],[Cost unitar]]*Table2[[#This Row],[Stoc Depozit]]</f>
        <v>0</v>
      </c>
      <c r="K34" s="21" t="s">
        <v>94</v>
      </c>
    </row>
    <row r="35" spans="1:11" x14ac:dyDescent="0.25">
      <c r="A35" s="21" t="s">
        <v>815</v>
      </c>
      <c r="B35" s="21" t="s">
        <v>815</v>
      </c>
      <c r="C35" s="33" t="s">
        <v>809</v>
      </c>
      <c r="D35" s="22">
        <v>1</v>
      </c>
      <c r="E35" s="22">
        <v>0</v>
      </c>
      <c r="F35" s="22"/>
      <c r="G35" s="22"/>
      <c r="H35" s="23"/>
      <c r="I35" s="23"/>
      <c r="J35" s="21">
        <f>Table2[[#This Row],[Cost unitar]]*Table2[[#This Row],[Stoc Depozit]]</f>
        <v>0</v>
      </c>
      <c r="K35" s="21" t="s">
        <v>94</v>
      </c>
    </row>
    <row r="36" spans="1:11" x14ac:dyDescent="0.25">
      <c r="A36" s="21" t="s">
        <v>816</v>
      </c>
      <c r="B36" s="21" t="s">
        <v>816</v>
      </c>
      <c r="C36" s="33" t="s">
        <v>810</v>
      </c>
      <c r="D36" s="22">
        <v>1</v>
      </c>
      <c r="E36" s="22">
        <v>0</v>
      </c>
      <c r="F36" s="22"/>
      <c r="G36" s="22"/>
      <c r="H36" s="23"/>
      <c r="I36" s="23"/>
      <c r="J36" s="21">
        <f>Table2[[#This Row],[Cost unitar]]*Table2[[#This Row],[Stoc Depozit]]</f>
        <v>0</v>
      </c>
      <c r="K36" s="21" t="s">
        <v>94</v>
      </c>
    </row>
    <row r="37" spans="1:11" x14ac:dyDescent="0.25">
      <c r="A37" s="21" t="s">
        <v>817</v>
      </c>
      <c r="B37" s="21" t="s">
        <v>817</v>
      </c>
      <c r="C37" s="33" t="s">
        <v>810</v>
      </c>
      <c r="D37" s="22">
        <v>1</v>
      </c>
      <c r="E37" s="22">
        <v>0</v>
      </c>
      <c r="F37" s="22"/>
      <c r="G37" s="22"/>
      <c r="H37" s="23"/>
      <c r="I37" s="23"/>
      <c r="J37" s="21">
        <f>Table2[[#This Row],[Cost unitar]]*Table2[[#This Row],[Stoc Depozit]]</f>
        <v>0</v>
      </c>
      <c r="K37" s="21" t="s">
        <v>94</v>
      </c>
    </row>
    <row r="38" spans="1:11" x14ac:dyDescent="0.25">
      <c r="A38" s="21" t="s">
        <v>818</v>
      </c>
      <c r="B38" s="21" t="s">
        <v>818</v>
      </c>
      <c r="C38" s="33" t="s">
        <v>119</v>
      </c>
      <c r="D38" s="22">
        <v>1</v>
      </c>
      <c r="E38" s="22">
        <v>0</v>
      </c>
      <c r="F38" s="22"/>
      <c r="G38" s="22"/>
      <c r="H38" s="23"/>
      <c r="I38" s="23"/>
      <c r="J38" s="21">
        <f>Table2[[#This Row],[Cost unitar]]*Table2[[#This Row],[Stoc Depozit]]</f>
        <v>0</v>
      </c>
      <c r="K38" s="21" t="s">
        <v>94</v>
      </c>
    </row>
    <row r="39" spans="1:11" x14ac:dyDescent="0.25">
      <c r="A39" s="21" t="s">
        <v>819</v>
      </c>
      <c r="B39" s="21" t="s">
        <v>819</v>
      </c>
      <c r="C39" s="33" t="s">
        <v>126</v>
      </c>
      <c r="D39" s="22">
        <v>1</v>
      </c>
      <c r="E39" s="22">
        <v>0</v>
      </c>
      <c r="F39" s="22"/>
      <c r="G39" s="22"/>
      <c r="H39" s="23"/>
      <c r="I39" s="23"/>
      <c r="J39" s="21">
        <f>Table2[[#This Row],[Cost unitar]]*Table2[[#This Row],[Stoc Depozit]]</f>
        <v>0</v>
      </c>
      <c r="K39" s="21" t="s">
        <v>94</v>
      </c>
    </row>
    <row r="40" spans="1:11" x14ac:dyDescent="0.25">
      <c r="A40" s="21" t="s">
        <v>820</v>
      </c>
      <c r="B40" s="21" t="s">
        <v>820</v>
      </c>
      <c r="C40" s="33" t="s">
        <v>811</v>
      </c>
      <c r="D40" s="22">
        <v>1</v>
      </c>
      <c r="E40" s="22">
        <v>0</v>
      </c>
      <c r="F40" s="22"/>
      <c r="G40" s="22"/>
      <c r="H40" s="23"/>
      <c r="I40" s="23"/>
      <c r="J40" s="21">
        <f>Table2[[#This Row],[Cost unitar]]*Table2[[#This Row],[Stoc Depozit]]</f>
        <v>0</v>
      </c>
      <c r="K40" s="21" t="s">
        <v>94</v>
      </c>
    </row>
    <row r="41" spans="1:11" x14ac:dyDescent="0.25">
      <c r="A41" s="21"/>
      <c r="B41" s="21"/>
      <c r="C41" s="21"/>
      <c r="D41" s="22">
        <v>0</v>
      </c>
      <c r="E41" s="22">
        <v>0</v>
      </c>
      <c r="F41" s="22"/>
      <c r="G41" s="22"/>
      <c r="H41" s="23"/>
      <c r="I41" s="23"/>
      <c r="J41" s="21">
        <f>Table2[[#This Row],[Cost unitar]]*Table2[[#This Row],[Stoc Depozit]]</f>
        <v>0</v>
      </c>
      <c r="K41" s="21"/>
    </row>
    <row r="42" spans="1:11" x14ac:dyDescent="0.25">
      <c r="A42" s="21" t="s">
        <v>92</v>
      </c>
      <c r="B42" s="21" t="s">
        <v>92</v>
      </c>
      <c r="C42" s="21" t="s">
        <v>93</v>
      </c>
      <c r="D42" s="22">
        <v>1</v>
      </c>
      <c r="E42" s="22">
        <v>0</v>
      </c>
      <c r="F42" s="22"/>
      <c r="G42" s="22"/>
      <c r="H42" s="23"/>
      <c r="I42" s="23"/>
      <c r="J42" s="21">
        <f>Table2[[#This Row],[Cost unitar]]*Table2[[#This Row],[Stoc Depozit]]</f>
        <v>0</v>
      </c>
      <c r="K42" s="21" t="s">
        <v>94</v>
      </c>
    </row>
    <row r="43" spans="1:11" x14ac:dyDescent="0.25">
      <c r="A43" s="21" t="s">
        <v>97</v>
      </c>
      <c r="B43" s="21" t="s">
        <v>97</v>
      </c>
      <c r="C43" s="21" t="s">
        <v>95</v>
      </c>
      <c r="D43" s="22">
        <v>1</v>
      </c>
      <c r="E43" s="22">
        <v>0</v>
      </c>
      <c r="F43" s="22"/>
      <c r="G43" s="22"/>
      <c r="H43" s="23"/>
      <c r="I43" s="23"/>
      <c r="J43" s="21">
        <f>Table2[[#This Row],[Cost unitar]]*Table2[[#This Row],[Stoc Depozit]]</f>
        <v>0</v>
      </c>
      <c r="K43" s="21" t="s">
        <v>94</v>
      </c>
    </row>
    <row r="44" spans="1:11" x14ac:dyDescent="0.25">
      <c r="A44" s="21" t="s">
        <v>98</v>
      </c>
      <c r="B44" s="21" t="s">
        <v>98</v>
      </c>
      <c r="C44" s="21" t="s">
        <v>96</v>
      </c>
      <c r="D44" s="22">
        <v>1</v>
      </c>
      <c r="E44" s="22">
        <v>0</v>
      </c>
      <c r="F44" s="22"/>
      <c r="G44" s="22"/>
      <c r="H44" s="23"/>
      <c r="I44" s="23"/>
      <c r="J44" s="21">
        <f>Table2[[#This Row],[Cost unitar]]*Table2[[#This Row],[Stoc Depozit]]</f>
        <v>0</v>
      </c>
      <c r="K44" s="21" t="s">
        <v>94</v>
      </c>
    </row>
    <row r="45" spans="1:11" x14ac:dyDescent="0.25">
      <c r="A45" s="21" t="s">
        <v>99</v>
      </c>
      <c r="B45" s="21" t="s">
        <v>99</v>
      </c>
      <c r="C45" s="21" t="s">
        <v>100</v>
      </c>
      <c r="D45" s="22">
        <v>1</v>
      </c>
      <c r="E45" s="22">
        <v>0</v>
      </c>
      <c r="F45" s="22"/>
      <c r="G45" s="22"/>
      <c r="H45" s="23"/>
      <c r="I45" s="23"/>
      <c r="J45" s="21">
        <f>Table2[[#This Row],[Cost unitar]]*Table2[[#This Row],[Stoc Depozit]]</f>
        <v>0</v>
      </c>
      <c r="K45" s="21" t="s">
        <v>94</v>
      </c>
    </row>
    <row r="46" spans="1:11" x14ac:dyDescent="0.25">
      <c r="A46" s="21" t="s">
        <v>102</v>
      </c>
      <c r="B46" s="21" t="s">
        <v>102</v>
      </c>
      <c r="C46" s="21" t="s">
        <v>101</v>
      </c>
      <c r="D46" s="22">
        <v>1</v>
      </c>
      <c r="E46" s="22">
        <v>0</v>
      </c>
      <c r="F46" s="22"/>
      <c r="G46" s="22"/>
      <c r="H46" s="23"/>
      <c r="I46" s="23"/>
      <c r="J46" s="21">
        <f>Table2[[#This Row],[Cost unitar]]*Table2[[#This Row],[Stoc Depozit]]</f>
        <v>0</v>
      </c>
      <c r="K46" s="21" t="s">
        <v>94</v>
      </c>
    </row>
    <row r="47" spans="1:11" x14ac:dyDescent="0.25">
      <c r="A47" s="21" t="s">
        <v>103</v>
      </c>
      <c r="B47" s="21" t="s">
        <v>103</v>
      </c>
      <c r="C47" s="21" t="s">
        <v>107</v>
      </c>
      <c r="D47" s="22">
        <v>1</v>
      </c>
      <c r="E47" s="22">
        <v>0</v>
      </c>
      <c r="F47" s="22"/>
      <c r="G47" s="22"/>
      <c r="H47" s="23"/>
      <c r="I47" s="23"/>
      <c r="J47" s="21">
        <f>Table2[[#This Row],[Cost unitar]]*Table2[[#This Row],[Stoc Depozit]]</f>
        <v>0</v>
      </c>
      <c r="K47" s="21" t="s">
        <v>94</v>
      </c>
    </row>
    <row r="48" spans="1:11" x14ac:dyDescent="0.25">
      <c r="A48" s="21" t="s">
        <v>104</v>
      </c>
      <c r="B48" s="21" t="s">
        <v>104</v>
      </c>
      <c r="C48" s="21" t="s">
        <v>101</v>
      </c>
      <c r="D48" s="22">
        <v>1</v>
      </c>
      <c r="E48" s="22">
        <v>0</v>
      </c>
      <c r="F48" s="22"/>
      <c r="G48" s="22"/>
      <c r="H48" s="23"/>
      <c r="I48" s="23"/>
      <c r="J48" s="21">
        <f>Table2[[#This Row],[Cost unitar]]*Table2[[#This Row],[Stoc Depozit]]</f>
        <v>0</v>
      </c>
      <c r="K48" s="21" t="s">
        <v>94</v>
      </c>
    </row>
    <row r="49" spans="1:11" x14ac:dyDescent="0.25">
      <c r="A49" s="21" t="s">
        <v>105</v>
      </c>
      <c r="B49" s="21" t="s">
        <v>105</v>
      </c>
      <c r="C49" s="21" t="s">
        <v>106</v>
      </c>
      <c r="D49" s="22">
        <v>1</v>
      </c>
      <c r="E49" s="22">
        <v>0</v>
      </c>
      <c r="F49" s="22"/>
      <c r="G49" s="22"/>
      <c r="H49" s="23"/>
      <c r="I49" s="23"/>
      <c r="J49" s="21">
        <f>Table2[[#This Row],[Cost unitar]]*Table2[[#This Row],[Stoc Depozit]]</f>
        <v>0</v>
      </c>
      <c r="K49" s="21" t="s">
        <v>94</v>
      </c>
    </row>
    <row r="50" spans="1:11" x14ac:dyDescent="0.25">
      <c r="A50" s="21" t="s">
        <v>108</v>
      </c>
      <c r="B50" s="21" t="s">
        <v>108</v>
      </c>
      <c r="C50" s="21" t="s">
        <v>109</v>
      </c>
      <c r="D50" s="22">
        <v>1</v>
      </c>
      <c r="E50" s="22">
        <v>0</v>
      </c>
      <c r="F50" s="22"/>
      <c r="G50" s="22"/>
      <c r="H50" s="23"/>
      <c r="I50" s="23"/>
      <c r="J50" s="21">
        <f>Table2[[#This Row],[Cost unitar]]*Table2[[#This Row],[Stoc Depozit]]</f>
        <v>0</v>
      </c>
      <c r="K50" s="21" t="s">
        <v>111</v>
      </c>
    </row>
    <row r="51" spans="1:11" x14ac:dyDescent="0.25">
      <c r="A51" s="21" t="s">
        <v>113</v>
      </c>
      <c r="B51" s="21" t="s">
        <v>113</v>
      </c>
      <c r="C51" s="21" t="s">
        <v>110</v>
      </c>
      <c r="D51" s="22">
        <v>1</v>
      </c>
      <c r="E51" s="22">
        <v>0</v>
      </c>
      <c r="F51" s="22"/>
      <c r="G51" s="22"/>
      <c r="H51" s="23"/>
      <c r="I51" s="23"/>
      <c r="J51" s="21">
        <f>Table2[[#This Row],[Cost unitar]]*Table2[[#This Row],[Stoc Depozit]]</f>
        <v>0</v>
      </c>
      <c r="K51" s="21" t="s">
        <v>78</v>
      </c>
    </row>
    <row r="52" spans="1:11" x14ac:dyDescent="0.25">
      <c r="A52" s="21" t="s">
        <v>114</v>
      </c>
      <c r="B52" s="21" t="s">
        <v>114</v>
      </c>
      <c r="C52" s="21" t="s">
        <v>112</v>
      </c>
      <c r="D52" s="22">
        <v>1</v>
      </c>
      <c r="E52" s="22">
        <v>0</v>
      </c>
      <c r="F52" s="22"/>
      <c r="G52" s="22"/>
      <c r="H52" s="23"/>
      <c r="I52" s="23"/>
      <c r="J52" s="21">
        <f>Table2[[#This Row],[Cost unitar]]*Table2[[#This Row],[Stoc Depozit]]</f>
        <v>0</v>
      </c>
      <c r="K52" s="21" t="s">
        <v>94</v>
      </c>
    </row>
    <row r="53" spans="1:11" x14ac:dyDescent="0.25">
      <c r="A53" s="21" t="s">
        <v>115</v>
      </c>
      <c r="B53" s="21" t="s">
        <v>115</v>
      </c>
      <c r="C53" s="21" t="s">
        <v>112</v>
      </c>
      <c r="D53" s="22">
        <v>1</v>
      </c>
      <c r="E53" s="22">
        <v>0</v>
      </c>
      <c r="F53" s="22"/>
      <c r="G53" s="22"/>
      <c r="H53" s="23"/>
      <c r="I53" s="23"/>
      <c r="J53" s="21">
        <f>Table2[[#This Row],[Cost unitar]]*Table2[[#This Row],[Stoc Depozit]]</f>
        <v>0</v>
      </c>
      <c r="K53" s="21" t="s">
        <v>94</v>
      </c>
    </row>
    <row r="54" spans="1:11" x14ac:dyDescent="0.25">
      <c r="A54" s="21" t="s">
        <v>117</v>
      </c>
      <c r="B54" s="21" t="s">
        <v>117</v>
      </c>
      <c r="C54" s="21" t="s">
        <v>116</v>
      </c>
      <c r="D54" s="22">
        <v>1</v>
      </c>
      <c r="E54" s="22">
        <v>0</v>
      </c>
      <c r="F54" s="22"/>
      <c r="G54" s="22"/>
      <c r="H54" s="23"/>
      <c r="I54" s="23"/>
      <c r="J54" s="21">
        <f>Table2[[#This Row],[Cost unitar]]*Table2[[#This Row],[Stoc Depozit]]</f>
        <v>0</v>
      </c>
      <c r="K54" s="21" t="s">
        <v>94</v>
      </c>
    </row>
    <row r="55" spans="1:11" x14ac:dyDescent="0.25">
      <c r="A55" s="21" t="s">
        <v>118</v>
      </c>
      <c r="B55" s="21" t="s">
        <v>118</v>
      </c>
      <c r="C55" s="21" t="s">
        <v>119</v>
      </c>
      <c r="D55" s="22">
        <v>1</v>
      </c>
      <c r="E55" s="22">
        <v>0</v>
      </c>
      <c r="F55" s="22"/>
      <c r="G55" s="22"/>
      <c r="H55" s="23"/>
      <c r="I55" s="23"/>
      <c r="J55" s="21">
        <f>Table2[[#This Row],[Cost unitar]]*Table2[[#This Row],[Stoc Depozit]]</f>
        <v>0</v>
      </c>
      <c r="K55" s="21" t="s">
        <v>94</v>
      </c>
    </row>
    <row r="56" spans="1:11" x14ac:dyDescent="0.25">
      <c r="A56" s="21" t="s">
        <v>120</v>
      </c>
      <c r="B56" s="21" t="s">
        <v>120</v>
      </c>
      <c r="C56" s="21" t="s">
        <v>119</v>
      </c>
      <c r="D56" s="22">
        <v>1</v>
      </c>
      <c r="E56" s="22">
        <v>0</v>
      </c>
      <c r="F56" s="22"/>
      <c r="G56" s="22"/>
      <c r="H56" s="23"/>
      <c r="I56" s="23"/>
      <c r="J56" s="21">
        <f>Table2[[#This Row],[Cost unitar]]*Table2[[#This Row],[Stoc Depozit]]</f>
        <v>0</v>
      </c>
      <c r="K56" s="21" t="s">
        <v>94</v>
      </c>
    </row>
    <row r="57" spans="1:11" x14ac:dyDescent="0.25">
      <c r="A57" s="21" t="s">
        <v>121</v>
      </c>
      <c r="B57" s="21" t="s">
        <v>121</v>
      </c>
      <c r="C57" s="21" t="s">
        <v>119</v>
      </c>
      <c r="D57" s="22">
        <v>1</v>
      </c>
      <c r="E57" s="22">
        <v>0</v>
      </c>
      <c r="F57" s="22"/>
      <c r="G57" s="22"/>
      <c r="H57" s="23"/>
      <c r="I57" s="23"/>
      <c r="J57" s="21">
        <f>Table2[[#This Row],[Cost unitar]]*Table2[[#This Row],[Stoc Depozit]]</f>
        <v>0</v>
      </c>
      <c r="K57" s="21" t="s">
        <v>94</v>
      </c>
    </row>
    <row r="58" spans="1:11" x14ac:dyDescent="0.25">
      <c r="A58" s="21" t="s">
        <v>122</v>
      </c>
      <c r="B58" s="21" t="s">
        <v>122</v>
      </c>
      <c r="C58" s="21" t="s">
        <v>123</v>
      </c>
      <c r="D58" s="22">
        <v>1</v>
      </c>
      <c r="E58" s="22">
        <v>0</v>
      </c>
      <c r="F58" s="22"/>
      <c r="G58" s="22"/>
      <c r="H58" s="23"/>
      <c r="I58" s="23"/>
      <c r="J58" s="21">
        <f>Table2[[#This Row],[Cost unitar]]*Table2[[#This Row],[Stoc Depozit]]</f>
        <v>0</v>
      </c>
      <c r="K58" s="21" t="s">
        <v>94</v>
      </c>
    </row>
    <row r="59" spans="1:11" x14ac:dyDescent="0.25">
      <c r="A59" s="21" t="s">
        <v>124</v>
      </c>
      <c r="B59" s="21" t="s">
        <v>124</v>
      </c>
      <c r="C59" s="21" t="s">
        <v>125</v>
      </c>
      <c r="D59" s="22">
        <v>1</v>
      </c>
      <c r="E59" s="22">
        <v>0</v>
      </c>
      <c r="F59" s="22"/>
      <c r="G59" s="22"/>
      <c r="H59" s="23"/>
      <c r="I59" s="23"/>
      <c r="J59" s="21">
        <f>Table2[[#This Row],[Cost unitar]]*Table2[[#This Row],[Stoc Depozit]]</f>
        <v>0</v>
      </c>
      <c r="K59" s="21" t="s">
        <v>94</v>
      </c>
    </row>
    <row r="60" spans="1:11" x14ac:dyDescent="0.25">
      <c r="A60" s="21" t="s">
        <v>127</v>
      </c>
      <c r="B60" s="21" t="s">
        <v>127</v>
      </c>
      <c r="C60" s="21" t="s">
        <v>126</v>
      </c>
      <c r="D60" s="22">
        <v>1</v>
      </c>
      <c r="E60" s="22">
        <v>0</v>
      </c>
      <c r="F60" s="22"/>
      <c r="G60" s="22"/>
      <c r="H60" s="23"/>
      <c r="I60" s="23"/>
      <c r="J60" s="21">
        <f>Table2[[#This Row],[Cost unitar]]*Table2[[#This Row],[Stoc Depozit]]</f>
        <v>0</v>
      </c>
      <c r="K60" s="21" t="s">
        <v>94</v>
      </c>
    </row>
    <row r="61" spans="1:11" x14ac:dyDescent="0.25">
      <c r="A61" s="21" t="s">
        <v>130</v>
      </c>
      <c r="B61" s="21" t="s">
        <v>130</v>
      </c>
      <c r="C61" s="21" t="s">
        <v>128</v>
      </c>
      <c r="D61" s="22">
        <v>1</v>
      </c>
      <c r="E61" s="22">
        <v>0</v>
      </c>
      <c r="F61" s="22"/>
      <c r="G61" s="22"/>
      <c r="H61" s="23"/>
      <c r="I61" s="23"/>
      <c r="J61" s="21">
        <f>Table2[[#This Row],[Cost unitar]]*Table2[[#This Row],[Stoc Depozit]]</f>
        <v>0</v>
      </c>
      <c r="K61" s="21" t="s">
        <v>94</v>
      </c>
    </row>
    <row r="62" spans="1:11" x14ac:dyDescent="0.25">
      <c r="A62" s="21" t="s">
        <v>131</v>
      </c>
      <c r="B62" s="21" t="s">
        <v>131</v>
      </c>
      <c r="C62" s="21" t="s">
        <v>129</v>
      </c>
      <c r="D62" s="22">
        <v>1</v>
      </c>
      <c r="E62" s="22">
        <v>0</v>
      </c>
      <c r="F62" s="22"/>
      <c r="G62" s="22"/>
      <c r="H62" s="23"/>
      <c r="I62" s="23"/>
      <c r="J62" s="21">
        <f>Table2[[#This Row],[Cost unitar]]*Table2[[#This Row],[Stoc Depozit]]</f>
        <v>0</v>
      </c>
      <c r="K62" s="21" t="s">
        <v>94</v>
      </c>
    </row>
    <row r="63" spans="1:11" x14ac:dyDescent="0.25">
      <c r="A63" s="21" t="s">
        <v>133</v>
      </c>
      <c r="B63" s="21" t="s">
        <v>133</v>
      </c>
      <c r="C63" s="21" t="s">
        <v>132</v>
      </c>
      <c r="D63" s="22">
        <v>1</v>
      </c>
      <c r="E63" s="22">
        <v>0</v>
      </c>
      <c r="F63" s="22"/>
      <c r="G63" s="22"/>
      <c r="H63" s="23"/>
      <c r="I63" s="23"/>
      <c r="J63" s="21">
        <f>Table2[[#This Row],[Cost unitar]]*Table2[[#This Row],[Stoc Depozit]]</f>
        <v>0</v>
      </c>
      <c r="K63" s="21" t="s">
        <v>94</v>
      </c>
    </row>
    <row r="64" spans="1:11" x14ac:dyDescent="0.25">
      <c r="A64" s="21" t="s">
        <v>134</v>
      </c>
      <c r="B64" s="21" t="s">
        <v>134</v>
      </c>
      <c r="C64" s="21" t="s">
        <v>132</v>
      </c>
      <c r="D64" s="22">
        <v>1</v>
      </c>
      <c r="E64" s="22">
        <v>0</v>
      </c>
      <c r="F64" s="22"/>
      <c r="G64" s="22"/>
      <c r="H64" s="23"/>
      <c r="I64" s="23"/>
      <c r="J64" s="21">
        <f>Table2[[#This Row],[Cost unitar]]*Table2[[#This Row],[Stoc Depozit]]</f>
        <v>0</v>
      </c>
      <c r="K64" s="21" t="s">
        <v>94</v>
      </c>
    </row>
    <row r="65" spans="1:14" x14ac:dyDescent="0.25">
      <c r="A65" s="21" t="s">
        <v>135</v>
      </c>
      <c r="B65" s="21" t="s">
        <v>135</v>
      </c>
      <c r="C65" s="21" t="s">
        <v>132</v>
      </c>
      <c r="D65" s="22">
        <v>1</v>
      </c>
      <c r="E65" s="22">
        <v>0</v>
      </c>
      <c r="F65" s="22"/>
      <c r="G65" s="22"/>
      <c r="H65" s="23"/>
      <c r="I65" s="23"/>
      <c r="J65" s="21">
        <f>Table2[[#This Row],[Cost unitar]]*Table2[[#This Row],[Stoc Depozit]]</f>
        <v>0</v>
      </c>
      <c r="K65" s="21" t="s">
        <v>94</v>
      </c>
    </row>
    <row r="66" spans="1:14" x14ac:dyDescent="0.25">
      <c r="A66" s="21" t="s">
        <v>136</v>
      </c>
      <c r="B66" s="21" t="s">
        <v>136</v>
      </c>
      <c r="C66" s="21" t="s">
        <v>825</v>
      </c>
      <c r="D66" s="22">
        <v>1</v>
      </c>
      <c r="E66" s="22">
        <v>0</v>
      </c>
      <c r="F66" s="22"/>
      <c r="G66" s="22"/>
      <c r="H66" s="23"/>
      <c r="I66" s="23"/>
      <c r="J66" s="21"/>
      <c r="K66" s="21" t="s">
        <v>94</v>
      </c>
    </row>
    <row r="67" spans="1:14" x14ac:dyDescent="0.25">
      <c r="A67" s="21" t="s">
        <v>140</v>
      </c>
      <c r="B67" t="s">
        <v>140</v>
      </c>
      <c r="C67" t="s">
        <v>139</v>
      </c>
      <c r="D67" s="22">
        <v>1</v>
      </c>
      <c r="E67" s="22">
        <v>0</v>
      </c>
      <c r="F67" s="1"/>
      <c r="G67" s="1"/>
      <c r="H67" s="15"/>
      <c r="I67" s="15"/>
      <c r="J67">
        <f>Table2[[#This Row],[Cost unitar]]*Table2[[#This Row],[Stoc Depozit]]</f>
        <v>0</v>
      </c>
      <c r="K67" s="21" t="s">
        <v>137</v>
      </c>
    </row>
    <row r="68" spans="1:14" x14ac:dyDescent="0.25">
      <c r="A68" s="21" t="s">
        <v>144</v>
      </c>
      <c r="B68" t="s">
        <v>144</v>
      </c>
      <c r="C68" t="s">
        <v>141</v>
      </c>
      <c r="D68" s="22">
        <v>1</v>
      </c>
      <c r="E68" s="22">
        <v>0</v>
      </c>
      <c r="F68" s="1"/>
      <c r="G68" s="1"/>
      <c r="H68" s="15"/>
      <c r="I68" s="15"/>
      <c r="J68">
        <f>Table2[[#This Row],[Cost unitar]]*Table2[[#This Row],[Stoc Depozit]]</f>
        <v>0</v>
      </c>
      <c r="K68" t="s">
        <v>142</v>
      </c>
      <c r="N68" t="s">
        <v>67</v>
      </c>
    </row>
    <row r="69" spans="1:14" x14ac:dyDescent="0.25">
      <c r="A69" s="21" t="s">
        <v>145</v>
      </c>
      <c r="B69" t="s">
        <v>145</v>
      </c>
      <c r="C69" t="s">
        <v>143</v>
      </c>
      <c r="D69" s="22">
        <v>1</v>
      </c>
      <c r="E69" s="22">
        <v>0</v>
      </c>
      <c r="F69" s="1"/>
      <c r="G69" s="1"/>
      <c r="H69" s="15"/>
      <c r="I69" s="15"/>
      <c r="J69">
        <f>Table2[[#This Row],[Cost unitar]]*Table2[[#This Row],[Stoc Depozit]]</f>
        <v>0</v>
      </c>
      <c r="K69" s="21" t="s">
        <v>94</v>
      </c>
    </row>
    <row r="70" spans="1:14" x14ac:dyDescent="0.25">
      <c r="A70" s="21" t="s">
        <v>146</v>
      </c>
      <c r="B70" t="s">
        <v>146</v>
      </c>
      <c r="C70" t="s">
        <v>147</v>
      </c>
      <c r="D70" s="22">
        <v>1</v>
      </c>
      <c r="E70" s="22">
        <v>0</v>
      </c>
      <c r="F70" s="1"/>
      <c r="G70" s="1"/>
      <c r="H70" s="15"/>
      <c r="I70" s="15"/>
      <c r="J70">
        <f>Table2[[#This Row],[Cost unitar]]*Table2[[#This Row],[Stoc Depozit]]</f>
        <v>0</v>
      </c>
      <c r="K70" t="s">
        <v>148</v>
      </c>
      <c r="L70" t="s">
        <v>822</v>
      </c>
    </row>
    <row r="71" spans="1:14" x14ac:dyDescent="0.25">
      <c r="A71" s="21" t="s">
        <v>150</v>
      </c>
      <c r="B71" t="s">
        <v>150</v>
      </c>
      <c r="C71" t="s">
        <v>149</v>
      </c>
      <c r="D71" s="22">
        <v>1</v>
      </c>
      <c r="E71" s="22">
        <v>0</v>
      </c>
      <c r="F71" s="1"/>
      <c r="G71" s="1"/>
      <c r="H71" s="15"/>
      <c r="I71" s="15"/>
      <c r="J71">
        <f>Table2[[#This Row],[Cost unitar]]*Table2[[#This Row],[Stoc Depozit]]</f>
        <v>0</v>
      </c>
      <c r="K71" t="s">
        <v>157</v>
      </c>
    </row>
    <row r="72" spans="1:14" x14ac:dyDescent="0.25">
      <c r="A72" s="21" t="s">
        <v>151</v>
      </c>
      <c r="B72" t="s">
        <v>151</v>
      </c>
      <c r="C72" t="s">
        <v>149</v>
      </c>
      <c r="D72" s="22">
        <v>1</v>
      </c>
      <c r="E72" s="22">
        <v>0</v>
      </c>
      <c r="F72" s="1"/>
      <c r="G72" s="1"/>
      <c r="H72" s="15"/>
      <c r="I72" s="15"/>
      <c r="J72">
        <f>Table2[[#This Row],[Cost unitar]]*Table2[[#This Row],[Stoc Depozit]]</f>
        <v>0</v>
      </c>
      <c r="K72" t="s">
        <v>157</v>
      </c>
    </row>
    <row r="73" spans="1:14" x14ac:dyDescent="0.25">
      <c r="A73" s="21" t="s">
        <v>152</v>
      </c>
      <c r="B73" t="s">
        <v>152</v>
      </c>
      <c r="C73" t="s">
        <v>149</v>
      </c>
      <c r="D73" s="22">
        <v>1</v>
      </c>
      <c r="E73" s="22">
        <v>0</v>
      </c>
      <c r="F73" s="1"/>
      <c r="G73" s="1"/>
      <c r="H73" s="15"/>
      <c r="I73" s="15"/>
      <c r="J73">
        <f>Table2[[#This Row],[Cost unitar]]*Table2[[#This Row],[Stoc Depozit]]</f>
        <v>0</v>
      </c>
      <c r="K73" t="s">
        <v>157</v>
      </c>
    </row>
    <row r="74" spans="1:14" x14ac:dyDescent="0.25">
      <c r="A74" s="21" t="s">
        <v>153</v>
      </c>
      <c r="B74" t="s">
        <v>153</v>
      </c>
      <c r="C74" t="s">
        <v>149</v>
      </c>
      <c r="D74" s="22">
        <v>1</v>
      </c>
      <c r="E74" s="22">
        <v>0</v>
      </c>
      <c r="F74" s="1"/>
      <c r="G74" s="1"/>
      <c r="H74" s="15"/>
      <c r="I74" s="15"/>
      <c r="J74">
        <f>Table2[[#This Row],[Cost unitar]]*Table2[[#This Row],[Stoc Depozit]]</f>
        <v>0</v>
      </c>
      <c r="K74" t="s">
        <v>157</v>
      </c>
    </row>
    <row r="75" spans="1:14" x14ac:dyDescent="0.25">
      <c r="A75" s="21" t="s">
        <v>155</v>
      </c>
      <c r="B75" t="s">
        <v>155</v>
      </c>
      <c r="C75" t="s">
        <v>154</v>
      </c>
      <c r="D75" s="22">
        <v>0</v>
      </c>
      <c r="E75" s="22">
        <v>0</v>
      </c>
      <c r="F75" s="1"/>
      <c r="G75" s="1"/>
      <c r="H75" s="15"/>
      <c r="I75" s="15"/>
      <c r="J75">
        <f>Table2[[#This Row],[Cost unitar]]*Table2[[#This Row],[Stoc Depozit]]</f>
        <v>0</v>
      </c>
      <c r="K75" t="s">
        <v>826</v>
      </c>
      <c r="L75" t="s">
        <v>827</v>
      </c>
    </row>
    <row r="76" spans="1:14" x14ac:dyDescent="0.25">
      <c r="A76" s="21" t="s">
        <v>156</v>
      </c>
      <c r="B76" t="s">
        <v>156</v>
      </c>
      <c r="C76" t="s">
        <v>126</v>
      </c>
      <c r="D76" s="22">
        <v>1</v>
      </c>
      <c r="E76" s="22">
        <v>0</v>
      </c>
      <c r="F76" s="1"/>
      <c r="G76" s="1"/>
      <c r="H76" s="15"/>
      <c r="I76" s="15"/>
      <c r="J76">
        <f>Table2[[#This Row],[Cost unitar]]*Table2[[#This Row],[Stoc Depozit]]</f>
        <v>0</v>
      </c>
      <c r="K76" s="21" t="s">
        <v>94</v>
      </c>
    </row>
    <row r="77" spans="1:14" x14ac:dyDescent="0.25">
      <c r="A77" s="21" t="s">
        <v>158</v>
      </c>
      <c r="B77" t="s">
        <v>158</v>
      </c>
      <c r="C77" t="s">
        <v>154</v>
      </c>
      <c r="D77" s="22">
        <v>0</v>
      </c>
      <c r="E77" s="22">
        <v>0</v>
      </c>
      <c r="F77" s="1"/>
      <c r="G77" s="1"/>
      <c r="H77" s="15"/>
      <c r="I77" s="15"/>
      <c r="J77">
        <f>Table2[[#This Row],[Cost unitar]]*Table2[[#This Row],[Stoc Depozit]]</f>
        <v>0</v>
      </c>
      <c r="K77" t="s">
        <v>1253</v>
      </c>
    </row>
    <row r="78" spans="1:14" x14ac:dyDescent="0.25">
      <c r="A78" s="21" t="s">
        <v>161</v>
      </c>
      <c r="B78" t="s">
        <v>161</v>
      </c>
      <c r="C78" t="s">
        <v>159</v>
      </c>
      <c r="D78" s="22">
        <v>0</v>
      </c>
      <c r="E78" s="22">
        <v>1</v>
      </c>
      <c r="F78" s="1"/>
      <c r="G78" s="1"/>
      <c r="H78" s="15"/>
      <c r="I78" s="15"/>
      <c r="J78">
        <f>Table2[[#This Row],[Cost unitar]]*Table2[[#This Row],[Stoc Depozit]]</f>
        <v>0</v>
      </c>
      <c r="K78" t="s">
        <v>831</v>
      </c>
      <c r="L78" t="s">
        <v>827</v>
      </c>
    </row>
    <row r="79" spans="1:14" x14ac:dyDescent="0.25">
      <c r="A79" s="21" t="s">
        <v>165</v>
      </c>
      <c r="B79" t="s">
        <v>165</v>
      </c>
      <c r="C79" t="s">
        <v>162</v>
      </c>
      <c r="D79" s="22">
        <v>0</v>
      </c>
      <c r="E79" s="22">
        <v>1</v>
      </c>
      <c r="F79" s="1"/>
      <c r="G79" s="1"/>
      <c r="H79" s="15"/>
      <c r="I79" s="15"/>
      <c r="J79">
        <f>Table2[[#This Row],[Cost unitar]]*Table2[[#This Row],[Stoc Depozit]]</f>
        <v>0</v>
      </c>
      <c r="K79" t="s">
        <v>163</v>
      </c>
      <c r="L79" t="s">
        <v>824</v>
      </c>
    </row>
    <row r="80" spans="1:14" x14ac:dyDescent="0.25">
      <c r="A80" s="21" t="s">
        <v>166</v>
      </c>
      <c r="B80" t="s">
        <v>166</v>
      </c>
      <c r="C80" t="s">
        <v>164</v>
      </c>
      <c r="D80" s="22">
        <v>0</v>
      </c>
      <c r="E80" s="22">
        <v>1</v>
      </c>
      <c r="F80" s="1"/>
      <c r="G80" s="1"/>
      <c r="H80" s="15"/>
      <c r="I80" s="15"/>
      <c r="J80">
        <f>Table2[[#This Row],[Cost unitar]]*Table2[[#This Row],[Stoc Depozit]]</f>
        <v>0</v>
      </c>
      <c r="K80" t="s">
        <v>163</v>
      </c>
      <c r="L80" t="s">
        <v>824</v>
      </c>
    </row>
    <row r="81" spans="1:12" x14ac:dyDescent="0.25">
      <c r="A81" s="21" t="s">
        <v>167</v>
      </c>
      <c r="B81" t="s">
        <v>167</v>
      </c>
      <c r="C81" t="s">
        <v>168</v>
      </c>
      <c r="D81" s="22">
        <v>0</v>
      </c>
      <c r="E81" s="22">
        <v>1</v>
      </c>
      <c r="F81" s="1"/>
      <c r="G81" s="1"/>
      <c r="H81" s="15"/>
      <c r="I81" s="15"/>
      <c r="J81">
        <f>Table2[[#This Row],[Cost unitar]]*Table2[[#This Row],[Stoc Depozit]]</f>
        <v>0</v>
      </c>
      <c r="K81" t="s">
        <v>163</v>
      </c>
      <c r="L81" t="s">
        <v>824</v>
      </c>
    </row>
    <row r="82" spans="1:12" x14ac:dyDescent="0.25">
      <c r="A82" s="21" t="s">
        <v>169</v>
      </c>
      <c r="B82" t="s">
        <v>169</v>
      </c>
      <c r="C82" t="s">
        <v>973</v>
      </c>
      <c r="D82" s="22">
        <v>0</v>
      </c>
      <c r="E82" s="22">
        <v>1</v>
      </c>
      <c r="F82" s="1"/>
      <c r="G82" s="1"/>
      <c r="H82" s="15"/>
      <c r="I82" s="15"/>
      <c r="J82">
        <f>Table2[[#This Row],[Cost unitar]]*Table2[[#This Row],[Stoc Depozit]]</f>
        <v>0</v>
      </c>
      <c r="K82" t="s">
        <v>163</v>
      </c>
      <c r="L82" t="s">
        <v>824</v>
      </c>
    </row>
    <row r="83" spans="1:12" x14ac:dyDescent="0.25">
      <c r="A83" s="21" t="s">
        <v>172</v>
      </c>
      <c r="B83" t="s">
        <v>172</v>
      </c>
      <c r="C83" t="s">
        <v>170</v>
      </c>
      <c r="D83" s="22">
        <v>0</v>
      </c>
      <c r="E83" s="22">
        <v>1</v>
      </c>
      <c r="F83" s="1"/>
      <c r="G83" s="1"/>
      <c r="H83" s="15"/>
      <c r="I83" s="15"/>
      <c r="J83">
        <f>Table2[[#This Row],[Cost unitar]]*Table2[[#This Row],[Stoc Depozit]]</f>
        <v>0</v>
      </c>
      <c r="K83" t="s">
        <v>163</v>
      </c>
      <c r="L83" t="s">
        <v>824</v>
      </c>
    </row>
    <row r="84" spans="1:12" x14ac:dyDescent="0.25">
      <c r="A84" s="21" t="s">
        <v>173</v>
      </c>
      <c r="B84" t="s">
        <v>173</v>
      </c>
      <c r="C84" t="s">
        <v>171</v>
      </c>
      <c r="D84" s="22">
        <v>0</v>
      </c>
      <c r="E84" s="22">
        <v>1</v>
      </c>
      <c r="F84" s="1"/>
      <c r="G84" s="1"/>
      <c r="H84" s="15"/>
      <c r="I84" s="15"/>
      <c r="J84">
        <f>Table2[[#This Row],[Cost unitar]]*Table2[[#This Row],[Stoc Depozit]]</f>
        <v>0</v>
      </c>
      <c r="K84" t="s">
        <v>163</v>
      </c>
      <c r="L84" t="s">
        <v>824</v>
      </c>
    </row>
    <row r="85" spans="1:12" x14ac:dyDescent="0.25">
      <c r="A85" s="21" t="s">
        <v>174</v>
      </c>
      <c r="B85" t="s">
        <v>174</v>
      </c>
      <c r="C85" t="s">
        <v>175</v>
      </c>
      <c r="D85" s="22">
        <v>0</v>
      </c>
      <c r="E85" s="22">
        <v>1</v>
      </c>
      <c r="F85" s="1"/>
      <c r="G85" s="1"/>
      <c r="H85" s="15"/>
      <c r="I85" s="15"/>
      <c r="J85">
        <f>Table2[[#This Row],[Cost unitar]]*Table2[[#This Row],[Stoc Depozit]]</f>
        <v>0</v>
      </c>
      <c r="K85" t="s">
        <v>163</v>
      </c>
      <c r="L85" t="s">
        <v>824</v>
      </c>
    </row>
    <row r="86" spans="1:12" x14ac:dyDescent="0.25">
      <c r="A86" s="21" t="s">
        <v>176</v>
      </c>
      <c r="B86" t="s">
        <v>176</v>
      </c>
      <c r="C86" t="s">
        <v>177</v>
      </c>
      <c r="D86" s="22">
        <v>0</v>
      </c>
      <c r="E86" s="22">
        <v>1</v>
      </c>
      <c r="F86" s="1"/>
      <c r="G86" s="1"/>
      <c r="H86" s="15"/>
      <c r="I86" s="15"/>
      <c r="J86">
        <f>Table2[[#This Row],[Cost unitar]]*Table2[[#This Row],[Stoc Depozit]]</f>
        <v>0</v>
      </c>
      <c r="K86" t="s">
        <v>163</v>
      </c>
      <c r="L86" t="s">
        <v>824</v>
      </c>
    </row>
    <row r="87" spans="1:12" x14ac:dyDescent="0.25">
      <c r="A87" s="21" t="s">
        <v>179</v>
      </c>
      <c r="B87" t="s">
        <v>179</v>
      </c>
      <c r="C87" t="s">
        <v>178</v>
      </c>
      <c r="D87" s="22">
        <v>0</v>
      </c>
      <c r="E87" s="22">
        <v>1</v>
      </c>
      <c r="F87" s="1"/>
      <c r="G87" s="1"/>
      <c r="H87" s="15"/>
      <c r="I87" s="15"/>
      <c r="J87">
        <f>Table2[[#This Row],[Cost unitar]]*Table2[[#This Row],[Stoc Depozit]]</f>
        <v>0</v>
      </c>
      <c r="K87" t="s">
        <v>163</v>
      </c>
      <c r="L87" t="s">
        <v>824</v>
      </c>
    </row>
    <row r="88" spans="1:12" x14ac:dyDescent="0.25">
      <c r="A88" t="s">
        <v>181</v>
      </c>
      <c r="B88" t="s">
        <v>181</v>
      </c>
      <c r="C88" t="s">
        <v>180</v>
      </c>
      <c r="D88" s="22">
        <v>0</v>
      </c>
      <c r="E88" s="22">
        <v>1</v>
      </c>
      <c r="F88" s="1"/>
      <c r="G88" s="1"/>
      <c r="H88" s="15"/>
      <c r="I88" s="15"/>
      <c r="J88">
        <f>Table2[[#This Row],[Cost unitar]]*Table2[[#This Row],[Stoc Depozit]]</f>
        <v>0</v>
      </c>
      <c r="K88" t="s">
        <v>163</v>
      </c>
      <c r="L88" t="s">
        <v>824</v>
      </c>
    </row>
    <row r="89" spans="1:12" x14ac:dyDescent="0.25">
      <c r="A89" t="s">
        <v>182</v>
      </c>
      <c r="B89" t="s">
        <v>182</v>
      </c>
      <c r="C89" t="s">
        <v>183</v>
      </c>
      <c r="D89" s="22">
        <v>0</v>
      </c>
      <c r="E89" s="22">
        <v>1</v>
      </c>
      <c r="F89" s="1"/>
      <c r="G89" s="1"/>
      <c r="H89" s="15"/>
      <c r="I89" s="15"/>
      <c r="J89">
        <f>Table2[[#This Row],[Cost unitar]]*Table2[[#This Row],[Stoc Depozit]]</f>
        <v>0</v>
      </c>
      <c r="K89" t="s">
        <v>163</v>
      </c>
      <c r="L89" t="s">
        <v>824</v>
      </c>
    </row>
    <row r="90" spans="1:12" x14ac:dyDescent="0.25">
      <c r="A90" t="s">
        <v>184</v>
      </c>
      <c r="B90" t="s">
        <v>184</v>
      </c>
      <c r="C90" t="s">
        <v>229</v>
      </c>
      <c r="D90" s="22">
        <v>0</v>
      </c>
      <c r="E90" s="22">
        <v>1</v>
      </c>
      <c r="F90" s="1"/>
      <c r="G90" s="1"/>
      <c r="H90" s="15"/>
      <c r="I90" s="15"/>
      <c r="J90">
        <f>Table2[[#This Row],[Cost unitar]]*Table2[[#This Row],[Stoc Depozit]]</f>
        <v>0</v>
      </c>
      <c r="K90" t="s">
        <v>163</v>
      </c>
      <c r="L90" t="s">
        <v>824</v>
      </c>
    </row>
    <row r="91" spans="1:12" x14ac:dyDescent="0.25">
      <c r="A91" t="s">
        <v>185</v>
      </c>
      <c r="B91" t="s">
        <v>185</v>
      </c>
      <c r="C91" t="s">
        <v>230</v>
      </c>
      <c r="D91" s="22">
        <v>0</v>
      </c>
      <c r="E91" s="22">
        <v>1</v>
      </c>
      <c r="F91" s="1"/>
      <c r="G91" s="1"/>
      <c r="H91" s="15"/>
      <c r="I91" s="15"/>
      <c r="J91">
        <f>Table2[[#This Row],[Cost unitar]]*Table2[[#This Row],[Stoc Depozit]]</f>
        <v>0</v>
      </c>
      <c r="K91" t="s">
        <v>163</v>
      </c>
      <c r="L91" t="s">
        <v>824</v>
      </c>
    </row>
    <row r="92" spans="1:12" x14ac:dyDescent="0.25">
      <c r="A92" t="s">
        <v>186</v>
      </c>
      <c r="B92" t="s">
        <v>186</v>
      </c>
      <c r="C92" t="s">
        <v>231</v>
      </c>
      <c r="D92" s="22">
        <v>0</v>
      </c>
      <c r="E92" s="22">
        <v>1</v>
      </c>
      <c r="F92" s="1"/>
      <c r="G92" s="1"/>
      <c r="H92" s="15"/>
      <c r="I92" s="15"/>
      <c r="J92">
        <f>Table2[[#This Row],[Cost unitar]]*Table2[[#This Row],[Stoc Depozit]]</f>
        <v>0</v>
      </c>
      <c r="K92" t="s">
        <v>163</v>
      </c>
      <c r="L92" t="s">
        <v>824</v>
      </c>
    </row>
    <row r="93" spans="1:12" x14ac:dyDescent="0.25">
      <c r="A93" t="s">
        <v>187</v>
      </c>
      <c r="B93" t="s">
        <v>187</v>
      </c>
      <c r="C93" t="s">
        <v>231</v>
      </c>
      <c r="D93" s="22">
        <v>0</v>
      </c>
      <c r="E93" s="22">
        <v>1</v>
      </c>
      <c r="F93" s="1"/>
      <c r="G93" s="1"/>
      <c r="H93" s="15"/>
      <c r="I93" s="15"/>
      <c r="J93">
        <f>Table2[[#This Row],[Cost unitar]]*Table2[[#This Row],[Stoc Depozit]]</f>
        <v>0</v>
      </c>
      <c r="K93" t="s">
        <v>163</v>
      </c>
      <c r="L93" t="s">
        <v>824</v>
      </c>
    </row>
    <row r="94" spans="1:12" x14ac:dyDescent="0.25">
      <c r="A94" t="s">
        <v>188</v>
      </c>
      <c r="B94" t="s">
        <v>188</v>
      </c>
      <c r="C94" t="s">
        <v>229</v>
      </c>
      <c r="D94" s="22">
        <v>0</v>
      </c>
      <c r="E94" s="22">
        <v>1</v>
      </c>
      <c r="F94" s="1"/>
      <c r="G94" s="1"/>
      <c r="H94" s="15"/>
      <c r="I94" s="15"/>
      <c r="J94">
        <f>Table2[[#This Row],[Cost unitar]]*Table2[[#This Row],[Stoc Depozit]]</f>
        <v>0</v>
      </c>
      <c r="K94" t="s">
        <v>163</v>
      </c>
      <c r="L94" t="s">
        <v>824</v>
      </c>
    </row>
    <row r="95" spans="1:12" x14ac:dyDescent="0.25">
      <c r="A95" t="s">
        <v>189</v>
      </c>
      <c r="B95" t="s">
        <v>189</v>
      </c>
      <c r="C95" t="s">
        <v>229</v>
      </c>
      <c r="D95" s="22">
        <v>0</v>
      </c>
      <c r="E95" s="22">
        <v>1</v>
      </c>
      <c r="F95" s="1"/>
      <c r="G95" s="1"/>
      <c r="H95" s="15"/>
      <c r="I95" s="15"/>
      <c r="J95">
        <f>Table2[[#This Row],[Cost unitar]]*Table2[[#This Row],[Stoc Depozit]]</f>
        <v>0</v>
      </c>
      <c r="K95" t="s">
        <v>163</v>
      </c>
      <c r="L95" t="s">
        <v>824</v>
      </c>
    </row>
    <row r="96" spans="1:12" x14ac:dyDescent="0.25">
      <c r="A96" t="s">
        <v>190</v>
      </c>
      <c r="B96" t="s">
        <v>190</v>
      </c>
      <c r="C96" t="s">
        <v>232</v>
      </c>
      <c r="D96" s="22">
        <v>0</v>
      </c>
      <c r="E96" s="22">
        <v>1</v>
      </c>
      <c r="F96" s="1"/>
      <c r="G96" s="1"/>
      <c r="H96" s="15"/>
      <c r="I96" s="15"/>
      <c r="J96">
        <f>Table2[[#This Row],[Cost unitar]]*Table2[[#This Row],[Stoc Depozit]]</f>
        <v>0</v>
      </c>
      <c r="K96" t="s">
        <v>163</v>
      </c>
      <c r="L96" t="s">
        <v>824</v>
      </c>
    </row>
    <row r="97" spans="1:14" x14ac:dyDescent="0.25">
      <c r="A97" t="s">
        <v>191</v>
      </c>
      <c r="B97" t="s">
        <v>191</v>
      </c>
      <c r="C97" t="s">
        <v>233</v>
      </c>
      <c r="D97" s="22">
        <v>0</v>
      </c>
      <c r="E97" s="22">
        <v>1</v>
      </c>
      <c r="F97" s="1"/>
      <c r="G97" s="1"/>
      <c r="H97" s="15"/>
      <c r="I97" s="15"/>
      <c r="J97">
        <f>Table2[[#This Row],[Cost unitar]]*Table2[[#This Row],[Stoc Depozit]]</f>
        <v>0</v>
      </c>
      <c r="K97" t="s">
        <v>163</v>
      </c>
      <c r="L97" t="s">
        <v>824</v>
      </c>
    </row>
    <row r="98" spans="1:14" x14ac:dyDescent="0.25">
      <c r="A98" t="s">
        <v>192</v>
      </c>
      <c r="B98" t="s">
        <v>192</v>
      </c>
      <c r="C98" t="s">
        <v>234</v>
      </c>
      <c r="D98" s="22">
        <v>0</v>
      </c>
      <c r="E98" s="22">
        <v>1</v>
      </c>
      <c r="F98" s="1"/>
      <c r="G98" s="1"/>
      <c r="H98" s="15"/>
      <c r="I98" s="15"/>
      <c r="J98">
        <f>Table2[[#This Row],[Cost unitar]]*Table2[[#This Row],[Stoc Depozit]]</f>
        <v>0</v>
      </c>
      <c r="K98" t="s">
        <v>163</v>
      </c>
      <c r="L98" t="s">
        <v>824</v>
      </c>
    </row>
    <row r="99" spans="1:14" x14ac:dyDescent="0.25">
      <c r="A99" t="s">
        <v>193</v>
      </c>
      <c r="B99" t="s">
        <v>193</v>
      </c>
      <c r="C99" t="s">
        <v>235</v>
      </c>
      <c r="D99" s="22">
        <v>0</v>
      </c>
      <c r="E99" s="22">
        <v>1</v>
      </c>
      <c r="F99" s="1"/>
      <c r="G99" s="1"/>
      <c r="H99" s="15"/>
      <c r="I99" s="15"/>
      <c r="J99">
        <f>Table2[[#This Row],[Cost unitar]]*Table2[[#This Row],[Stoc Depozit]]</f>
        <v>0</v>
      </c>
      <c r="K99" t="s">
        <v>163</v>
      </c>
      <c r="L99" t="s">
        <v>824</v>
      </c>
    </row>
    <row r="100" spans="1:14" x14ac:dyDescent="0.25">
      <c r="A100" t="s">
        <v>194</v>
      </c>
      <c r="B100" t="s">
        <v>194</v>
      </c>
      <c r="C100" t="s">
        <v>238</v>
      </c>
      <c r="D100" s="22">
        <v>0</v>
      </c>
      <c r="E100" s="22">
        <v>1</v>
      </c>
      <c r="F100" s="1"/>
      <c r="G100" s="1"/>
      <c r="H100" s="15"/>
      <c r="I100" s="15"/>
      <c r="J100">
        <f>Table2[[#This Row],[Cost unitar]]*Table2[[#This Row],[Stoc Depozit]]</f>
        <v>0</v>
      </c>
      <c r="K100" t="s">
        <v>163</v>
      </c>
      <c r="L100" t="s">
        <v>824</v>
      </c>
    </row>
    <row r="101" spans="1:14" x14ac:dyDescent="0.25">
      <c r="A101" t="s">
        <v>195</v>
      </c>
      <c r="B101" t="s">
        <v>195</v>
      </c>
      <c r="C101" t="s">
        <v>236</v>
      </c>
      <c r="D101" s="22">
        <v>0</v>
      </c>
      <c r="E101" s="22">
        <v>1</v>
      </c>
      <c r="F101" s="1"/>
      <c r="G101" s="1"/>
      <c r="H101" s="15"/>
      <c r="I101" s="15"/>
      <c r="J101">
        <f>Table2[[#This Row],[Cost unitar]]*Table2[[#This Row],[Stoc Depozit]]</f>
        <v>0</v>
      </c>
      <c r="K101" t="s">
        <v>163</v>
      </c>
      <c r="L101" t="s">
        <v>824</v>
      </c>
    </row>
    <row r="102" spans="1:14" x14ac:dyDescent="0.25">
      <c r="A102" t="s">
        <v>196</v>
      </c>
      <c r="B102" t="s">
        <v>196</v>
      </c>
      <c r="C102" t="s">
        <v>237</v>
      </c>
      <c r="D102" s="22">
        <v>0</v>
      </c>
      <c r="E102" s="22">
        <v>1</v>
      </c>
      <c r="F102" s="1"/>
      <c r="G102" s="1"/>
      <c r="H102" s="15"/>
      <c r="I102" s="15"/>
      <c r="J102">
        <f>Table2[[#This Row],[Cost unitar]]*Table2[[#This Row],[Stoc Depozit]]</f>
        <v>0</v>
      </c>
      <c r="K102" t="s">
        <v>163</v>
      </c>
      <c r="L102" t="s">
        <v>824</v>
      </c>
    </row>
    <row r="103" spans="1:14" x14ac:dyDescent="0.25">
      <c r="A103" t="s">
        <v>197</v>
      </c>
      <c r="B103" t="s">
        <v>197</v>
      </c>
      <c r="C103" t="s">
        <v>1285</v>
      </c>
      <c r="D103" s="22">
        <v>0</v>
      </c>
      <c r="E103" s="22">
        <v>1</v>
      </c>
      <c r="F103" s="1"/>
      <c r="G103" s="1"/>
      <c r="H103" s="15"/>
      <c r="I103" s="15"/>
      <c r="J103">
        <f>Table2[[#This Row],[Cost unitar]]*Table2[[#This Row],[Stoc Depozit]]</f>
        <v>0</v>
      </c>
      <c r="K103" t="s">
        <v>163</v>
      </c>
      <c r="L103" t="s">
        <v>824</v>
      </c>
    </row>
    <row r="104" spans="1:14" x14ac:dyDescent="0.25">
      <c r="A104" t="s">
        <v>198</v>
      </c>
      <c r="B104" t="s">
        <v>198</v>
      </c>
      <c r="C104" t="s">
        <v>239</v>
      </c>
      <c r="D104" s="22">
        <v>0</v>
      </c>
      <c r="E104" s="22">
        <v>1</v>
      </c>
      <c r="F104" s="1"/>
      <c r="G104" s="1"/>
      <c r="H104" s="15"/>
      <c r="I104" s="15"/>
      <c r="J104">
        <f>Table2[[#This Row],[Cost unitar]]*Table2[[#This Row],[Stoc Depozit]]</f>
        <v>0</v>
      </c>
      <c r="K104" t="s">
        <v>163</v>
      </c>
      <c r="L104" t="s">
        <v>824</v>
      </c>
    </row>
    <row r="105" spans="1:14" x14ac:dyDescent="0.25">
      <c r="A105" t="s">
        <v>199</v>
      </c>
      <c r="B105" t="s">
        <v>199</v>
      </c>
      <c r="C105" t="s">
        <v>240</v>
      </c>
      <c r="D105" s="22">
        <v>0</v>
      </c>
      <c r="E105" s="22">
        <v>1</v>
      </c>
      <c r="F105" s="1"/>
      <c r="G105" s="1"/>
      <c r="H105" s="15"/>
      <c r="I105" s="15"/>
      <c r="J105">
        <f>Table2[[#This Row],[Cost unitar]]*Table2[[#This Row],[Stoc Depozit]]</f>
        <v>0</v>
      </c>
      <c r="K105" t="s">
        <v>163</v>
      </c>
      <c r="L105" t="s">
        <v>824</v>
      </c>
    </row>
    <row r="106" spans="1:14" x14ac:dyDescent="0.25">
      <c r="A106" t="s">
        <v>200</v>
      </c>
      <c r="B106" t="s">
        <v>200</v>
      </c>
      <c r="C106" t="s">
        <v>241</v>
      </c>
      <c r="D106" s="22">
        <v>0</v>
      </c>
      <c r="E106" s="22">
        <v>1</v>
      </c>
      <c r="F106" s="1"/>
      <c r="G106" s="1"/>
      <c r="H106" s="15"/>
      <c r="I106" s="15"/>
      <c r="J106">
        <f>Table2[[#This Row],[Cost unitar]]*Table2[[#This Row],[Stoc Depozit]]</f>
        <v>0</v>
      </c>
      <c r="K106" t="s">
        <v>163</v>
      </c>
      <c r="L106" t="s">
        <v>824</v>
      </c>
    </row>
    <row r="107" spans="1:14" x14ac:dyDescent="0.25">
      <c r="A107" t="s">
        <v>201</v>
      </c>
      <c r="B107" t="s">
        <v>201</v>
      </c>
      <c r="C107" t="s">
        <v>242</v>
      </c>
      <c r="D107" s="22">
        <v>0</v>
      </c>
      <c r="E107" s="22">
        <v>1</v>
      </c>
      <c r="F107" s="1"/>
      <c r="G107" s="1"/>
      <c r="H107" s="15"/>
      <c r="I107" s="15"/>
      <c r="J107">
        <f>Table2[[#This Row],[Cost unitar]]*Table2[[#This Row],[Stoc Depozit]]</f>
        <v>0</v>
      </c>
      <c r="K107" t="s">
        <v>163</v>
      </c>
      <c r="L107" t="s">
        <v>824</v>
      </c>
    </row>
    <row r="108" spans="1:14" x14ac:dyDescent="0.25">
      <c r="A108" t="s">
        <v>202</v>
      </c>
      <c r="B108" t="s">
        <v>202</v>
      </c>
      <c r="C108" t="s">
        <v>243</v>
      </c>
      <c r="D108" s="22">
        <v>0</v>
      </c>
      <c r="E108" s="22">
        <v>1</v>
      </c>
      <c r="F108" s="1"/>
      <c r="G108" s="1"/>
      <c r="H108" s="15"/>
      <c r="I108" s="15"/>
      <c r="J108">
        <f>Table2[[#This Row],[Cost unitar]]*Table2[[#This Row],[Stoc Depozit]]</f>
        <v>0</v>
      </c>
      <c r="K108" t="s">
        <v>163</v>
      </c>
      <c r="L108" t="s">
        <v>824</v>
      </c>
      <c r="N108" t="s">
        <v>244</v>
      </c>
    </row>
    <row r="109" spans="1:14" x14ac:dyDescent="0.25">
      <c r="A109" t="s">
        <v>203</v>
      </c>
      <c r="B109" t="s">
        <v>203</v>
      </c>
      <c r="C109" t="s">
        <v>245</v>
      </c>
      <c r="D109" s="22">
        <v>0</v>
      </c>
      <c r="E109" s="22">
        <v>1</v>
      </c>
      <c r="F109" s="1"/>
      <c r="G109" s="1"/>
      <c r="H109" s="15"/>
      <c r="I109" s="15"/>
      <c r="J109">
        <f>Table2[[#This Row],[Cost unitar]]*Table2[[#This Row],[Stoc Depozit]]</f>
        <v>0</v>
      </c>
      <c r="K109" t="s">
        <v>163</v>
      </c>
      <c r="L109" t="s">
        <v>824</v>
      </c>
    </row>
    <row r="110" spans="1:14" x14ac:dyDescent="0.25">
      <c r="A110" t="s">
        <v>204</v>
      </c>
      <c r="B110" t="s">
        <v>204</v>
      </c>
      <c r="C110" t="s">
        <v>246</v>
      </c>
      <c r="D110" s="22">
        <v>0</v>
      </c>
      <c r="E110" s="22">
        <v>1</v>
      </c>
      <c r="F110" s="1"/>
      <c r="G110" s="1"/>
      <c r="H110" s="15"/>
      <c r="I110" s="15"/>
      <c r="J110">
        <f>Table2[[#This Row],[Cost unitar]]*Table2[[#This Row],[Stoc Depozit]]</f>
        <v>0</v>
      </c>
      <c r="K110" t="s">
        <v>163</v>
      </c>
      <c r="L110" t="s">
        <v>824</v>
      </c>
    </row>
    <row r="111" spans="1:14" x14ac:dyDescent="0.25">
      <c r="A111" t="s">
        <v>205</v>
      </c>
      <c r="B111" t="s">
        <v>205</v>
      </c>
      <c r="C111" t="s">
        <v>247</v>
      </c>
      <c r="D111" s="22">
        <v>0</v>
      </c>
      <c r="E111" s="22">
        <v>1</v>
      </c>
      <c r="F111" s="1"/>
      <c r="G111" s="1"/>
      <c r="H111" s="15"/>
      <c r="I111" s="15"/>
      <c r="J111">
        <f>Table2[[#This Row],[Cost unitar]]*Table2[[#This Row],[Stoc Depozit]]</f>
        <v>0</v>
      </c>
      <c r="K111" t="s">
        <v>163</v>
      </c>
      <c r="L111" t="s">
        <v>824</v>
      </c>
    </row>
    <row r="112" spans="1:14" x14ac:dyDescent="0.25">
      <c r="A112" t="s">
        <v>205</v>
      </c>
      <c r="B112" t="s">
        <v>205</v>
      </c>
      <c r="C112" t="s">
        <v>248</v>
      </c>
      <c r="D112" s="22">
        <v>0</v>
      </c>
      <c r="E112" s="22">
        <v>1</v>
      </c>
      <c r="F112" s="1"/>
      <c r="G112" s="1"/>
      <c r="H112" s="15"/>
      <c r="I112" s="15"/>
      <c r="J112">
        <f>Table2[[#This Row],[Cost unitar]]*Table2[[#This Row],[Stoc Depozit]]</f>
        <v>0</v>
      </c>
      <c r="K112" t="s">
        <v>163</v>
      </c>
      <c r="L112" t="s">
        <v>824</v>
      </c>
    </row>
    <row r="113" spans="1:12" x14ac:dyDescent="0.25">
      <c r="A113" t="s">
        <v>206</v>
      </c>
      <c r="B113" t="s">
        <v>206</v>
      </c>
      <c r="C113" t="s">
        <v>249</v>
      </c>
      <c r="D113" s="22">
        <v>0</v>
      </c>
      <c r="E113" s="22">
        <v>1</v>
      </c>
      <c r="F113" s="1"/>
      <c r="G113" s="1"/>
      <c r="H113" s="15"/>
      <c r="I113" s="15"/>
      <c r="J113">
        <f>Table2[[#This Row],[Cost unitar]]*Table2[[#This Row],[Stoc Depozit]]</f>
        <v>0</v>
      </c>
      <c r="K113" t="s">
        <v>163</v>
      </c>
      <c r="L113" t="s">
        <v>824</v>
      </c>
    </row>
    <row r="114" spans="1:12" x14ac:dyDescent="0.25">
      <c r="A114" t="s">
        <v>207</v>
      </c>
      <c r="B114" t="s">
        <v>207</v>
      </c>
      <c r="C114" t="s">
        <v>250</v>
      </c>
      <c r="D114" s="22">
        <v>0</v>
      </c>
      <c r="E114" s="22">
        <v>1</v>
      </c>
      <c r="F114" s="1"/>
      <c r="G114" s="1"/>
      <c r="H114" s="15"/>
      <c r="I114" s="15"/>
      <c r="J114">
        <f>Table2[[#This Row],[Cost unitar]]*Table2[[#This Row],[Stoc Depozit]]</f>
        <v>0</v>
      </c>
      <c r="K114" t="s">
        <v>163</v>
      </c>
      <c r="L114" t="s">
        <v>824</v>
      </c>
    </row>
    <row r="115" spans="1:12" x14ac:dyDescent="0.25">
      <c r="A115" t="s">
        <v>208</v>
      </c>
      <c r="B115" t="s">
        <v>208</v>
      </c>
      <c r="C115" t="s">
        <v>251</v>
      </c>
      <c r="D115" s="22">
        <v>0</v>
      </c>
      <c r="E115" s="22">
        <v>1</v>
      </c>
      <c r="F115" s="1"/>
      <c r="G115" s="1"/>
      <c r="H115" s="15"/>
      <c r="I115" s="15"/>
      <c r="J115">
        <f>Table2[[#This Row],[Cost unitar]]*Table2[[#This Row],[Stoc Depozit]]</f>
        <v>0</v>
      </c>
      <c r="K115" t="s">
        <v>163</v>
      </c>
      <c r="L115" t="s">
        <v>824</v>
      </c>
    </row>
    <row r="116" spans="1:12" x14ac:dyDescent="0.25">
      <c r="A116" t="s">
        <v>209</v>
      </c>
      <c r="B116" t="s">
        <v>209</v>
      </c>
      <c r="C116" t="s">
        <v>252</v>
      </c>
      <c r="D116" s="22">
        <v>0</v>
      </c>
      <c r="E116" s="22">
        <v>1</v>
      </c>
      <c r="F116" s="1"/>
      <c r="G116" s="1"/>
      <c r="H116" s="15"/>
      <c r="I116" s="15"/>
      <c r="J116">
        <f>Table2[[#This Row],[Cost unitar]]*Table2[[#This Row],[Stoc Depozit]]</f>
        <v>0</v>
      </c>
      <c r="K116" t="s">
        <v>163</v>
      </c>
      <c r="L116" t="s">
        <v>824</v>
      </c>
    </row>
    <row r="117" spans="1:12" x14ac:dyDescent="0.25">
      <c r="A117" t="s">
        <v>210</v>
      </c>
      <c r="B117" t="s">
        <v>210</v>
      </c>
      <c r="C117" t="s">
        <v>253</v>
      </c>
      <c r="D117" s="22">
        <v>0</v>
      </c>
      <c r="E117" s="22">
        <v>1</v>
      </c>
      <c r="F117" s="1"/>
      <c r="G117" s="1"/>
      <c r="H117" s="15"/>
      <c r="I117" s="15"/>
      <c r="J117">
        <f>Table2[[#This Row],[Cost unitar]]*Table2[[#This Row],[Stoc Depozit]]</f>
        <v>0</v>
      </c>
      <c r="K117" t="s">
        <v>163</v>
      </c>
      <c r="L117" t="s">
        <v>824</v>
      </c>
    </row>
    <row r="118" spans="1:12" x14ac:dyDescent="0.25">
      <c r="A118" t="s">
        <v>211</v>
      </c>
      <c r="B118" t="s">
        <v>211</v>
      </c>
      <c r="C118" t="s">
        <v>254</v>
      </c>
      <c r="D118" s="22">
        <v>0</v>
      </c>
      <c r="E118" s="22">
        <v>1</v>
      </c>
      <c r="F118" s="1"/>
      <c r="G118" s="1"/>
      <c r="H118" s="15"/>
      <c r="I118" s="15"/>
      <c r="J118">
        <f>Table2[[#This Row],[Cost unitar]]*Table2[[#This Row],[Stoc Depozit]]</f>
        <v>0</v>
      </c>
      <c r="K118" t="s">
        <v>163</v>
      </c>
      <c r="L118" t="s">
        <v>824</v>
      </c>
    </row>
    <row r="119" spans="1:12" x14ac:dyDescent="0.25">
      <c r="A119" t="s">
        <v>212</v>
      </c>
      <c r="B119" t="s">
        <v>212</v>
      </c>
      <c r="C119" t="s">
        <v>255</v>
      </c>
      <c r="D119" s="22">
        <v>0</v>
      </c>
      <c r="E119" s="22">
        <v>1</v>
      </c>
      <c r="F119" s="1"/>
      <c r="G119" s="1"/>
      <c r="H119" s="15"/>
      <c r="I119" s="15"/>
      <c r="J119">
        <f>Table2[[#This Row],[Cost unitar]]*Table2[[#This Row],[Stoc Depozit]]</f>
        <v>0</v>
      </c>
      <c r="K119" t="s">
        <v>163</v>
      </c>
      <c r="L119" t="s">
        <v>824</v>
      </c>
    </row>
    <row r="120" spans="1:12" x14ac:dyDescent="0.25">
      <c r="A120" t="s">
        <v>213</v>
      </c>
      <c r="B120" t="s">
        <v>213</v>
      </c>
      <c r="C120" t="s">
        <v>256</v>
      </c>
      <c r="D120" s="22">
        <v>0</v>
      </c>
      <c r="E120" s="22">
        <v>1</v>
      </c>
      <c r="F120" s="1"/>
      <c r="G120" s="1"/>
      <c r="H120" s="15"/>
      <c r="I120" s="15"/>
      <c r="J120">
        <f>Table2[[#This Row],[Cost unitar]]*Table2[[#This Row],[Stoc Depozit]]</f>
        <v>0</v>
      </c>
      <c r="K120" t="s">
        <v>163</v>
      </c>
      <c r="L120" t="s">
        <v>824</v>
      </c>
    </row>
    <row r="121" spans="1:12" x14ac:dyDescent="0.25">
      <c r="A121" t="s">
        <v>214</v>
      </c>
      <c r="B121" t="s">
        <v>214</v>
      </c>
      <c r="C121" t="s">
        <v>257</v>
      </c>
      <c r="D121" s="22">
        <v>0</v>
      </c>
      <c r="E121" s="22">
        <v>1</v>
      </c>
      <c r="F121" s="1"/>
      <c r="G121" s="1"/>
      <c r="H121" s="15"/>
      <c r="I121" s="15"/>
      <c r="J121">
        <f>Table2[[#This Row],[Cost unitar]]*Table2[[#This Row],[Stoc Depozit]]</f>
        <v>0</v>
      </c>
      <c r="K121" t="s">
        <v>163</v>
      </c>
      <c r="L121" t="s">
        <v>824</v>
      </c>
    </row>
    <row r="122" spans="1:12" x14ac:dyDescent="0.25">
      <c r="A122" t="s">
        <v>215</v>
      </c>
      <c r="B122" t="s">
        <v>215</v>
      </c>
      <c r="C122" t="s">
        <v>258</v>
      </c>
      <c r="D122" s="22">
        <v>0</v>
      </c>
      <c r="E122" s="22">
        <v>1</v>
      </c>
      <c r="F122" s="1"/>
      <c r="G122" s="1"/>
      <c r="H122" s="15"/>
      <c r="I122" s="15"/>
      <c r="J122">
        <f>Table2[[#This Row],[Cost unitar]]*Table2[[#This Row],[Stoc Depozit]]</f>
        <v>0</v>
      </c>
      <c r="K122" t="s">
        <v>163</v>
      </c>
      <c r="L122" t="s">
        <v>824</v>
      </c>
    </row>
    <row r="123" spans="1:12" x14ac:dyDescent="0.25">
      <c r="A123" t="s">
        <v>216</v>
      </c>
      <c r="B123" t="s">
        <v>216</v>
      </c>
      <c r="C123" t="s">
        <v>259</v>
      </c>
      <c r="D123" s="22">
        <v>0</v>
      </c>
      <c r="E123" s="22">
        <v>1</v>
      </c>
      <c r="F123" s="1"/>
      <c r="G123" s="1"/>
      <c r="H123" s="15"/>
      <c r="I123" s="15"/>
      <c r="J123">
        <f>Table2[[#This Row],[Cost unitar]]*Table2[[#This Row],[Stoc Depozit]]</f>
        <v>0</v>
      </c>
      <c r="K123" t="s">
        <v>163</v>
      </c>
      <c r="L123" t="s">
        <v>824</v>
      </c>
    </row>
    <row r="124" spans="1:12" x14ac:dyDescent="0.25">
      <c r="A124" t="s">
        <v>217</v>
      </c>
      <c r="B124" t="s">
        <v>217</v>
      </c>
      <c r="C124" t="s">
        <v>260</v>
      </c>
      <c r="D124" s="22">
        <v>0</v>
      </c>
      <c r="E124" s="22">
        <v>1</v>
      </c>
      <c r="F124" s="1"/>
      <c r="G124" s="1"/>
      <c r="H124" s="15"/>
      <c r="I124" s="15"/>
      <c r="J124">
        <f>Table2[[#This Row],[Cost unitar]]*Table2[[#This Row],[Stoc Depozit]]</f>
        <v>0</v>
      </c>
      <c r="K124" t="s">
        <v>163</v>
      </c>
      <c r="L124" t="s">
        <v>824</v>
      </c>
    </row>
    <row r="125" spans="1:12" x14ac:dyDescent="0.25">
      <c r="A125" t="s">
        <v>218</v>
      </c>
      <c r="B125" t="s">
        <v>218</v>
      </c>
      <c r="C125" t="s">
        <v>969</v>
      </c>
      <c r="D125" s="22">
        <v>0</v>
      </c>
      <c r="E125" s="22">
        <v>1</v>
      </c>
      <c r="F125" s="1"/>
      <c r="G125" s="1"/>
      <c r="H125" s="15"/>
      <c r="I125" s="15"/>
      <c r="J125">
        <f>Table2[[#This Row],[Cost unitar]]*Table2[[#This Row],[Stoc Depozit]]</f>
        <v>0</v>
      </c>
      <c r="K125" t="s">
        <v>1253</v>
      </c>
      <c r="L125" t="s">
        <v>824</v>
      </c>
    </row>
    <row r="126" spans="1:12" x14ac:dyDescent="0.25">
      <c r="A126" t="s">
        <v>219</v>
      </c>
      <c r="B126" t="s">
        <v>219</v>
      </c>
      <c r="C126" t="s">
        <v>261</v>
      </c>
      <c r="D126" s="22">
        <v>0</v>
      </c>
      <c r="E126" s="22">
        <v>1</v>
      </c>
      <c r="F126" s="1"/>
      <c r="G126" s="1"/>
      <c r="H126" s="15"/>
      <c r="I126" s="15"/>
      <c r="J126">
        <f>Table2[[#This Row],[Cost unitar]]*Table2[[#This Row],[Stoc Depozit]]</f>
        <v>0</v>
      </c>
      <c r="K126" t="s">
        <v>163</v>
      </c>
      <c r="L126" t="s">
        <v>824</v>
      </c>
    </row>
    <row r="127" spans="1:12" x14ac:dyDescent="0.25">
      <c r="A127" t="s">
        <v>220</v>
      </c>
      <c r="B127" t="s">
        <v>220</v>
      </c>
      <c r="C127" t="s">
        <v>262</v>
      </c>
      <c r="D127" s="22">
        <v>0</v>
      </c>
      <c r="E127" s="22">
        <v>1</v>
      </c>
      <c r="F127" s="1"/>
      <c r="G127" s="1"/>
      <c r="H127" s="15"/>
      <c r="I127" s="15"/>
      <c r="J127">
        <f>Table2[[#This Row],[Cost unitar]]*Table2[[#This Row],[Stoc Depozit]]</f>
        <v>0</v>
      </c>
      <c r="K127" t="s">
        <v>163</v>
      </c>
      <c r="L127" t="s">
        <v>824</v>
      </c>
    </row>
    <row r="128" spans="1:12" x14ac:dyDescent="0.25">
      <c r="A128" t="s">
        <v>221</v>
      </c>
      <c r="B128" t="s">
        <v>221</v>
      </c>
      <c r="C128" t="s">
        <v>263</v>
      </c>
      <c r="D128" s="22">
        <v>0</v>
      </c>
      <c r="E128" s="22">
        <v>1</v>
      </c>
      <c r="F128" s="1"/>
      <c r="G128" s="1"/>
      <c r="H128" s="15"/>
      <c r="I128" s="15"/>
      <c r="J128">
        <f>Table2[[#This Row],[Cost unitar]]*Table2[[#This Row],[Stoc Depozit]]</f>
        <v>0</v>
      </c>
      <c r="K128" t="s">
        <v>163</v>
      </c>
      <c r="L128" t="s">
        <v>824</v>
      </c>
    </row>
    <row r="129" spans="1:14" x14ac:dyDescent="0.25">
      <c r="A129" t="s">
        <v>222</v>
      </c>
      <c r="B129" t="s">
        <v>222</v>
      </c>
      <c r="C129" t="s">
        <v>264</v>
      </c>
      <c r="D129" s="22">
        <v>0</v>
      </c>
      <c r="E129" s="22">
        <v>1</v>
      </c>
      <c r="F129" s="1"/>
      <c r="G129" s="1"/>
      <c r="H129" s="15"/>
      <c r="I129" s="15"/>
      <c r="J129">
        <f>Table2[[#This Row],[Cost unitar]]*Table2[[#This Row],[Stoc Depozit]]</f>
        <v>0</v>
      </c>
      <c r="K129" t="s">
        <v>163</v>
      </c>
      <c r="L129" t="s">
        <v>824</v>
      </c>
    </row>
    <row r="130" spans="1:14" x14ac:dyDescent="0.25">
      <c r="A130" t="s">
        <v>223</v>
      </c>
      <c r="B130" t="s">
        <v>223</v>
      </c>
      <c r="C130" t="s">
        <v>265</v>
      </c>
      <c r="D130" s="22">
        <v>0</v>
      </c>
      <c r="E130" s="22">
        <v>1</v>
      </c>
      <c r="F130" s="1"/>
      <c r="G130" s="1"/>
      <c r="H130" s="15"/>
      <c r="I130" s="15"/>
      <c r="J130">
        <f>Table2[[#This Row],[Cost unitar]]*Table2[[#This Row],[Stoc Depozit]]</f>
        <v>0</v>
      </c>
      <c r="K130" t="s">
        <v>163</v>
      </c>
      <c r="L130" t="s">
        <v>824</v>
      </c>
    </row>
    <row r="131" spans="1:14" x14ac:dyDescent="0.25">
      <c r="A131" t="s">
        <v>224</v>
      </c>
      <c r="B131" t="s">
        <v>224</v>
      </c>
      <c r="C131" t="s">
        <v>266</v>
      </c>
      <c r="D131" s="22">
        <v>0</v>
      </c>
      <c r="E131" s="22">
        <v>1</v>
      </c>
      <c r="F131" s="1"/>
      <c r="G131" s="1"/>
      <c r="H131" s="15"/>
      <c r="I131" s="15"/>
      <c r="J131">
        <f>Table2[[#This Row],[Cost unitar]]*Table2[[#This Row],[Stoc Depozit]]</f>
        <v>0</v>
      </c>
      <c r="K131" t="s">
        <v>163</v>
      </c>
      <c r="L131" t="s">
        <v>824</v>
      </c>
      <c r="N131" t="s">
        <v>267</v>
      </c>
    </row>
    <row r="132" spans="1:14" x14ac:dyDescent="0.25">
      <c r="A132" t="s">
        <v>225</v>
      </c>
      <c r="B132" t="s">
        <v>225</v>
      </c>
      <c r="C132" t="s">
        <v>266</v>
      </c>
      <c r="D132" s="22">
        <v>0</v>
      </c>
      <c r="E132" s="22">
        <v>1</v>
      </c>
      <c r="F132" s="1"/>
      <c r="G132" s="1"/>
      <c r="H132" s="15"/>
      <c r="I132" s="15"/>
      <c r="J132">
        <f>Table2[[#This Row],[Cost unitar]]*Table2[[#This Row],[Stoc Depozit]]</f>
        <v>0</v>
      </c>
      <c r="K132" t="s">
        <v>163</v>
      </c>
      <c r="L132" t="s">
        <v>824</v>
      </c>
    </row>
    <row r="133" spans="1:14" x14ac:dyDescent="0.25">
      <c r="A133" t="s">
        <v>226</v>
      </c>
      <c r="B133" t="s">
        <v>226</v>
      </c>
      <c r="C133" t="s">
        <v>268</v>
      </c>
      <c r="D133" s="22">
        <v>0</v>
      </c>
      <c r="E133" s="22">
        <v>1</v>
      </c>
      <c r="F133" s="1"/>
      <c r="G133" s="1"/>
      <c r="H133" s="15"/>
      <c r="I133" s="15"/>
      <c r="J133">
        <f>Table2[[#This Row],[Cost unitar]]*Table2[[#This Row],[Stoc Depozit]]</f>
        <v>0</v>
      </c>
      <c r="K133" t="s">
        <v>163</v>
      </c>
      <c r="L133" t="s">
        <v>824</v>
      </c>
    </row>
    <row r="134" spans="1:14" x14ac:dyDescent="0.25">
      <c r="A134" t="s">
        <v>227</v>
      </c>
      <c r="B134" t="s">
        <v>227</v>
      </c>
      <c r="C134" t="s">
        <v>269</v>
      </c>
      <c r="D134" s="22">
        <v>0</v>
      </c>
      <c r="E134" s="22">
        <v>1</v>
      </c>
      <c r="F134" s="1"/>
      <c r="G134" s="1"/>
      <c r="H134" s="15"/>
      <c r="I134" s="15"/>
      <c r="J134">
        <f>Table2[[#This Row],[Cost unitar]]*Table2[[#This Row],[Stoc Depozit]]</f>
        <v>0</v>
      </c>
      <c r="K134" t="s">
        <v>163</v>
      </c>
      <c r="L134" t="s">
        <v>824</v>
      </c>
    </row>
    <row r="135" spans="1:14" x14ac:dyDescent="0.25">
      <c r="A135" t="s">
        <v>228</v>
      </c>
      <c r="B135" t="s">
        <v>228</v>
      </c>
      <c r="C135" t="s">
        <v>270</v>
      </c>
      <c r="D135" s="22">
        <v>0</v>
      </c>
      <c r="E135" s="22">
        <v>1</v>
      </c>
      <c r="F135" s="1"/>
      <c r="G135" s="1"/>
      <c r="H135" s="15"/>
      <c r="I135" s="15"/>
      <c r="J135">
        <f>Table2[[#This Row],[Cost unitar]]*Table2[[#This Row],[Stoc Depozit]]</f>
        <v>0</v>
      </c>
      <c r="K135" t="s">
        <v>163</v>
      </c>
      <c r="L135" t="s">
        <v>824</v>
      </c>
    </row>
    <row r="136" spans="1:14" x14ac:dyDescent="0.25">
      <c r="A136" t="s">
        <v>271</v>
      </c>
      <c r="B136" t="s">
        <v>271</v>
      </c>
      <c r="C136" t="s">
        <v>280</v>
      </c>
      <c r="D136" s="22">
        <v>0</v>
      </c>
      <c r="E136" s="22">
        <v>1</v>
      </c>
      <c r="F136" s="1"/>
      <c r="G136" s="1"/>
      <c r="H136" s="15"/>
      <c r="I136" s="15"/>
      <c r="J136">
        <f>Table2[[#This Row],[Cost unitar]]*Table2[[#This Row],[Stoc Depozit]]</f>
        <v>0</v>
      </c>
      <c r="K136" t="s">
        <v>163</v>
      </c>
      <c r="L136" t="s">
        <v>824</v>
      </c>
    </row>
    <row r="137" spans="1:14" x14ac:dyDescent="0.25">
      <c r="A137" t="s">
        <v>272</v>
      </c>
      <c r="B137" t="s">
        <v>272</v>
      </c>
      <c r="C137" t="s">
        <v>873</v>
      </c>
      <c r="D137" s="22">
        <v>0</v>
      </c>
      <c r="E137" s="22">
        <v>1</v>
      </c>
      <c r="F137" s="1"/>
      <c r="G137" s="1"/>
      <c r="H137" s="15"/>
      <c r="I137" s="15"/>
      <c r="J137">
        <f>Table2[[#This Row],[Cost unitar]]*Table2[[#This Row],[Stoc Depozit]]</f>
        <v>0</v>
      </c>
      <c r="K137" t="s">
        <v>163</v>
      </c>
      <c r="L137" t="s">
        <v>824</v>
      </c>
    </row>
    <row r="138" spans="1:14" x14ac:dyDescent="0.25">
      <c r="A138" t="s">
        <v>273</v>
      </c>
      <c r="B138" t="s">
        <v>273</v>
      </c>
      <c r="C138" t="s">
        <v>874</v>
      </c>
      <c r="D138" s="22">
        <v>0</v>
      </c>
      <c r="E138" s="22">
        <v>1</v>
      </c>
      <c r="F138" s="1"/>
      <c r="G138" s="1"/>
      <c r="H138" s="15"/>
      <c r="I138" s="15"/>
      <c r="J138">
        <f>Table2[[#This Row],[Cost unitar]]*Table2[[#This Row],[Stoc Depozit]]</f>
        <v>0</v>
      </c>
      <c r="K138" t="s">
        <v>163</v>
      </c>
      <c r="L138" t="s">
        <v>824</v>
      </c>
    </row>
    <row r="139" spans="1:14" x14ac:dyDescent="0.25">
      <c r="A139" t="s">
        <v>274</v>
      </c>
      <c r="B139" t="s">
        <v>274</v>
      </c>
      <c r="C139" t="s">
        <v>281</v>
      </c>
      <c r="D139" s="22">
        <v>0</v>
      </c>
      <c r="E139" s="22">
        <v>1</v>
      </c>
      <c r="F139" s="1"/>
      <c r="G139" s="1"/>
      <c r="H139" s="15"/>
      <c r="I139" s="15"/>
      <c r="J139">
        <f>Table2[[#This Row],[Cost unitar]]*Table2[[#This Row],[Stoc Depozit]]</f>
        <v>0</v>
      </c>
      <c r="K139" t="s">
        <v>163</v>
      </c>
      <c r="L139" t="s">
        <v>824</v>
      </c>
    </row>
    <row r="140" spans="1:14" x14ac:dyDescent="0.25">
      <c r="A140" t="s">
        <v>275</v>
      </c>
      <c r="B140" t="s">
        <v>275</v>
      </c>
      <c r="C140" t="s">
        <v>282</v>
      </c>
      <c r="D140" s="22">
        <v>0</v>
      </c>
      <c r="E140" s="22">
        <v>1</v>
      </c>
      <c r="F140" s="1"/>
      <c r="G140" s="1"/>
      <c r="H140" s="15"/>
      <c r="I140" s="15"/>
      <c r="J140">
        <f>Table2[[#This Row],[Cost unitar]]*Table2[[#This Row],[Stoc Depozit]]</f>
        <v>0</v>
      </c>
      <c r="K140" t="s">
        <v>163</v>
      </c>
      <c r="L140" t="s">
        <v>824</v>
      </c>
    </row>
    <row r="141" spans="1:14" x14ac:dyDescent="0.25">
      <c r="A141" t="s">
        <v>276</v>
      </c>
      <c r="B141" t="s">
        <v>276</v>
      </c>
      <c r="C141" t="s">
        <v>283</v>
      </c>
      <c r="D141" s="22">
        <v>0</v>
      </c>
      <c r="E141" s="22">
        <v>1</v>
      </c>
      <c r="F141" s="1"/>
      <c r="G141" s="1"/>
      <c r="H141" s="15"/>
      <c r="I141" s="15"/>
      <c r="J141">
        <f>Table2[[#This Row],[Cost unitar]]*Table2[[#This Row],[Stoc Depozit]]</f>
        <v>0</v>
      </c>
      <c r="K141" t="s">
        <v>163</v>
      </c>
      <c r="L141" t="s">
        <v>824</v>
      </c>
    </row>
    <row r="142" spans="1:14" x14ac:dyDescent="0.25">
      <c r="A142" t="s">
        <v>277</v>
      </c>
      <c r="B142" t="s">
        <v>277</v>
      </c>
      <c r="C142" t="s">
        <v>284</v>
      </c>
      <c r="D142" s="22">
        <v>0</v>
      </c>
      <c r="E142" s="22">
        <v>1</v>
      </c>
      <c r="F142" s="1"/>
      <c r="G142" s="1"/>
      <c r="H142" s="15"/>
      <c r="I142" s="15"/>
      <c r="J142">
        <f>Table2[[#This Row],[Cost unitar]]*Table2[[#This Row],[Stoc Depozit]]</f>
        <v>0</v>
      </c>
      <c r="K142" t="s">
        <v>163</v>
      </c>
      <c r="L142" t="s">
        <v>824</v>
      </c>
    </row>
    <row r="143" spans="1:14" x14ac:dyDescent="0.25">
      <c r="A143" t="s">
        <v>278</v>
      </c>
      <c r="B143" t="s">
        <v>278</v>
      </c>
      <c r="C143" t="s">
        <v>285</v>
      </c>
      <c r="D143" s="22">
        <v>0</v>
      </c>
      <c r="E143" s="22">
        <v>1</v>
      </c>
      <c r="F143" s="1"/>
      <c r="G143" s="1"/>
      <c r="H143" s="15"/>
      <c r="I143" s="15"/>
      <c r="J143">
        <f>Table2[[#This Row],[Cost unitar]]*Table2[[#This Row],[Stoc Depozit]]</f>
        <v>0</v>
      </c>
      <c r="K143" t="s">
        <v>163</v>
      </c>
      <c r="L143" t="s">
        <v>824</v>
      </c>
    </row>
    <row r="144" spans="1:14" x14ac:dyDescent="0.25">
      <c r="A144" t="s">
        <v>279</v>
      </c>
      <c r="B144" t="s">
        <v>279</v>
      </c>
      <c r="C144" t="s">
        <v>286</v>
      </c>
      <c r="D144" s="22">
        <v>0</v>
      </c>
      <c r="E144" s="22">
        <v>1</v>
      </c>
      <c r="F144" s="1"/>
      <c r="G144" s="1"/>
      <c r="H144" s="15"/>
      <c r="I144" s="15"/>
      <c r="J144">
        <f>Table2[[#This Row],[Cost unitar]]*Table2[[#This Row],[Stoc Depozit]]</f>
        <v>0</v>
      </c>
      <c r="K144" t="s">
        <v>163</v>
      </c>
      <c r="L144" t="s">
        <v>824</v>
      </c>
    </row>
    <row r="145" spans="1:12" x14ac:dyDescent="0.25">
      <c r="A145" t="s">
        <v>288</v>
      </c>
      <c r="B145" t="s">
        <v>288</v>
      </c>
      <c r="C145" t="s">
        <v>287</v>
      </c>
      <c r="D145" s="22">
        <v>0</v>
      </c>
      <c r="E145" s="22">
        <v>1</v>
      </c>
      <c r="F145" s="1"/>
      <c r="G145" s="1"/>
      <c r="H145" s="15"/>
      <c r="I145" s="15"/>
      <c r="J145">
        <f>Table2[[#This Row],[Cost unitar]]*Table2[[#This Row],[Stoc Depozit]]</f>
        <v>0</v>
      </c>
      <c r="K145" t="s">
        <v>163</v>
      </c>
      <c r="L145" t="s">
        <v>824</v>
      </c>
    </row>
    <row r="146" spans="1:12" x14ac:dyDescent="0.25">
      <c r="A146" t="s">
        <v>289</v>
      </c>
      <c r="B146" t="s">
        <v>289</v>
      </c>
      <c r="C146" t="s">
        <v>293</v>
      </c>
      <c r="D146" s="22">
        <v>0</v>
      </c>
      <c r="E146" s="22">
        <v>1</v>
      </c>
      <c r="F146" s="1"/>
      <c r="G146" s="1"/>
      <c r="H146" s="15"/>
      <c r="I146" s="15"/>
      <c r="J146">
        <f>Table2[[#This Row],[Cost unitar]]*Table2[[#This Row],[Stoc Depozit]]</f>
        <v>0</v>
      </c>
      <c r="K146" t="s">
        <v>163</v>
      </c>
      <c r="L146" t="s">
        <v>824</v>
      </c>
    </row>
    <row r="147" spans="1:12" x14ac:dyDescent="0.25">
      <c r="A147" t="s">
        <v>290</v>
      </c>
      <c r="B147" t="s">
        <v>290</v>
      </c>
      <c r="C147" t="s">
        <v>294</v>
      </c>
      <c r="D147" s="22">
        <v>0</v>
      </c>
      <c r="E147" s="22">
        <v>1</v>
      </c>
      <c r="F147" s="1"/>
      <c r="G147" s="1"/>
      <c r="H147" s="15"/>
      <c r="I147" s="15"/>
      <c r="J147">
        <f>Table2[[#This Row],[Cost unitar]]*Table2[[#This Row],[Stoc Depozit]]</f>
        <v>0</v>
      </c>
      <c r="K147" t="s">
        <v>163</v>
      </c>
      <c r="L147" t="s">
        <v>824</v>
      </c>
    </row>
    <row r="148" spans="1:12" x14ac:dyDescent="0.25">
      <c r="A148" t="s">
        <v>291</v>
      </c>
      <c r="B148" t="s">
        <v>291</v>
      </c>
      <c r="C148" t="s">
        <v>295</v>
      </c>
      <c r="D148" s="22">
        <v>0</v>
      </c>
      <c r="E148" s="22">
        <v>1</v>
      </c>
      <c r="F148" s="1"/>
      <c r="G148" s="1"/>
      <c r="H148" s="15"/>
      <c r="I148" s="15"/>
      <c r="J148">
        <f>Table2[[#This Row],[Cost unitar]]*Table2[[#This Row],[Stoc Depozit]]</f>
        <v>0</v>
      </c>
      <c r="K148" t="s">
        <v>163</v>
      </c>
      <c r="L148" t="s">
        <v>824</v>
      </c>
    </row>
    <row r="149" spans="1:12" x14ac:dyDescent="0.25">
      <c r="A149" t="s">
        <v>292</v>
      </c>
      <c r="B149" t="s">
        <v>292</v>
      </c>
      <c r="C149" t="s">
        <v>296</v>
      </c>
      <c r="D149" s="22">
        <v>0</v>
      </c>
      <c r="E149" s="22">
        <v>1</v>
      </c>
      <c r="F149" s="1"/>
      <c r="G149" s="1"/>
      <c r="H149" s="15"/>
      <c r="I149" s="15"/>
      <c r="J149">
        <f>Table2[[#This Row],[Cost unitar]]*Table2[[#This Row],[Stoc Depozit]]</f>
        <v>0</v>
      </c>
      <c r="K149" t="s">
        <v>163</v>
      </c>
      <c r="L149" t="s">
        <v>824</v>
      </c>
    </row>
    <row r="150" spans="1:12" x14ac:dyDescent="0.25">
      <c r="A150" t="s">
        <v>297</v>
      </c>
      <c r="B150" t="s">
        <v>297</v>
      </c>
      <c r="C150" t="s">
        <v>314</v>
      </c>
      <c r="D150" s="22">
        <v>0</v>
      </c>
      <c r="E150" s="22">
        <v>1</v>
      </c>
      <c r="F150" s="1"/>
      <c r="G150" s="1"/>
      <c r="H150" s="15"/>
      <c r="I150" s="15"/>
      <c r="J150">
        <f>Table2[[#This Row],[Cost unitar]]*Table2[[#This Row],[Stoc Depozit]]</f>
        <v>0</v>
      </c>
      <c r="K150" t="s">
        <v>163</v>
      </c>
      <c r="L150" t="s">
        <v>824</v>
      </c>
    </row>
    <row r="151" spans="1:12" x14ac:dyDescent="0.25">
      <c r="A151" t="s">
        <v>298</v>
      </c>
      <c r="B151" t="s">
        <v>298</v>
      </c>
      <c r="C151" t="s">
        <v>314</v>
      </c>
      <c r="D151" s="22">
        <v>0</v>
      </c>
      <c r="E151" s="22">
        <v>1</v>
      </c>
      <c r="F151" s="1"/>
      <c r="G151" s="1"/>
      <c r="H151" s="15"/>
      <c r="I151" s="15"/>
      <c r="J151">
        <f>Table2[[#This Row],[Cost unitar]]*Table2[[#This Row],[Stoc Depozit]]</f>
        <v>0</v>
      </c>
      <c r="K151" t="s">
        <v>163</v>
      </c>
      <c r="L151" t="s">
        <v>824</v>
      </c>
    </row>
    <row r="152" spans="1:12" x14ac:dyDescent="0.25">
      <c r="A152" t="s">
        <v>299</v>
      </c>
      <c r="B152" t="s">
        <v>299</v>
      </c>
      <c r="C152" t="s">
        <v>315</v>
      </c>
      <c r="D152" s="22">
        <v>0</v>
      </c>
      <c r="E152" s="22">
        <v>1</v>
      </c>
      <c r="F152" s="1"/>
      <c r="G152" s="1"/>
      <c r="H152" s="15"/>
      <c r="I152" s="15"/>
      <c r="J152">
        <f>Table2[[#This Row],[Cost unitar]]*Table2[[#This Row],[Stoc Depozit]]</f>
        <v>0</v>
      </c>
      <c r="K152" t="s">
        <v>163</v>
      </c>
      <c r="L152" t="s">
        <v>824</v>
      </c>
    </row>
    <row r="153" spans="1:12" x14ac:dyDescent="0.25">
      <c r="A153" t="s">
        <v>300</v>
      </c>
      <c r="B153" t="s">
        <v>300</v>
      </c>
      <c r="C153" t="s">
        <v>316</v>
      </c>
      <c r="D153" s="22">
        <v>0</v>
      </c>
      <c r="E153" s="22">
        <v>1</v>
      </c>
      <c r="F153" s="1"/>
      <c r="G153" s="1"/>
      <c r="H153" s="15"/>
      <c r="I153" s="15"/>
      <c r="J153">
        <f>Table2[[#This Row],[Cost unitar]]*Table2[[#This Row],[Stoc Depozit]]</f>
        <v>0</v>
      </c>
      <c r="K153" t="s">
        <v>163</v>
      </c>
      <c r="L153" t="s">
        <v>824</v>
      </c>
    </row>
    <row r="154" spans="1:12" x14ac:dyDescent="0.25">
      <c r="A154" t="s">
        <v>301</v>
      </c>
      <c r="B154" t="s">
        <v>301</v>
      </c>
      <c r="C154" t="s">
        <v>317</v>
      </c>
      <c r="D154" s="22">
        <v>0</v>
      </c>
      <c r="E154" s="22">
        <v>1</v>
      </c>
      <c r="F154" s="1"/>
      <c r="G154" s="1"/>
      <c r="H154" s="15"/>
      <c r="I154" s="15"/>
      <c r="J154">
        <f>Table2[[#This Row],[Cost unitar]]*Table2[[#This Row],[Stoc Depozit]]</f>
        <v>0</v>
      </c>
      <c r="K154" t="s">
        <v>163</v>
      </c>
      <c r="L154" t="s">
        <v>824</v>
      </c>
    </row>
    <row r="155" spans="1:12" x14ac:dyDescent="0.25">
      <c r="A155" t="s">
        <v>302</v>
      </c>
      <c r="B155" t="s">
        <v>302</v>
      </c>
      <c r="C155" t="s">
        <v>318</v>
      </c>
      <c r="D155" s="22">
        <v>0</v>
      </c>
      <c r="E155" s="22">
        <v>1</v>
      </c>
      <c r="F155" s="1"/>
      <c r="G155" s="1"/>
      <c r="H155" s="15"/>
      <c r="I155" s="15"/>
      <c r="J155">
        <f>Table2[[#This Row],[Cost unitar]]*Table2[[#This Row],[Stoc Depozit]]</f>
        <v>0</v>
      </c>
      <c r="K155" t="s">
        <v>163</v>
      </c>
      <c r="L155" t="s">
        <v>824</v>
      </c>
    </row>
    <row r="156" spans="1:12" x14ac:dyDescent="0.25">
      <c r="A156" t="s">
        <v>303</v>
      </c>
      <c r="B156" t="s">
        <v>303</v>
      </c>
      <c r="C156" t="s">
        <v>319</v>
      </c>
      <c r="D156" s="22">
        <v>0</v>
      </c>
      <c r="E156" s="22">
        <v>1</v>
      </c>
      <c r="F156" s="1"/>
      <c r="G156" s="1"/>
      <c r="H156" s="15"/>
      <c r="I156" s="15"/>
      <c r="J156">
        <f>Table2[[#This Row],[Cost unitar]]*Table2[[#This Row],[Stoc Depozit]]</f>
        <v>0</v>
      </c>
      <c r="K156" t="s">
        <v>163</v>
      </c>
      <c r="L156" t="s">
        <v>824</v>
      </c>
    </row>
    <row r="157" spans="1:12" x14ac:dyDescent="0.25">
      <c r="A157" t="s">
        <v>304</v>
      </c>
      <c r="B157" t="s">
        <v>304</v>
      </c>
      <c r="C157" t="s">
        <v>294</v>
      </c>
      <c r="D157" s="22">
        <v>0</v>
      </c>
      <c r="E157" s="22">
        <v>1</v>
      </c>
      <c r="F157" s="1"/>
      <c r="G157" s="1"/>
      <c r="H157" s="15"/>
      <c r="I157" s="15"/>
      <c r="J157">
        <f>Table2[[#This Row],[Cost unitar]]*Table2[[#This Row],[Stoc Depozit]]</f>
        <v>0</v>
      </c>
      <c r="K157" t="s">
        <v>163</v>
      </c>
      <c r="L157" t="s">
        <v>824</v>
      </c>
    </row>
    <row r="158" spans="1:12" x14ac:dyDescent="0.25">
      <c r="A158" t="s">
        <v>305</v>
      </c>
      <c r="B158" t="s">
        <v>305</v>
      </c>
      <c r="C158" t="s">
        <v>320</v>
      </c>
      <c r="D158" s="22">
        <v>0</v>
      </c>
      <c r="E158" s="22">
        <v>1</v>
      </c>
      <c r="F158" s="1"/>
      <c r="G158" s="1"/>
      <c r="H158" s="15"/>
      <c r="I158" s="15"/>
      <c r="J158">
        <f>Table2[[#This Row],[Cost unitar]]*Table2[[#This Row],[Stoc Depozit]]</f>
        <v>0</v>
      </c>
      <c r="K158" t="s">
        <v>163</v>
      </c>
      <c r="L158" t="s">
        <v>824</v>
      </c>
    </row>
    <row r="159" spans="1:12" x14ac:dyDescent="0.25">
      <c r="A159" t="s">
        <v>306</v>
      </c>
      <c r="B159" t="s">
        <v>306</v>
      </c>
      <c r="C159" t="s">
        <v>321</v>
      </c>
      <c r="D159" s="22">
        <v>0</v>
      </c>
      <c r="E159" s="22">
        <v>1</v>
      </c>
      <c r="F159" s="1"/>
      <c r="G159" s="1"/>
      <c r="H159" s="15"/>
      <c r="I159" s="15"/>
      <c r="J159">
        <f>Table2[[#This Row],[Cost unitar]]*Table2[[#This Row],[Stoc Depozit]]</f>
        <v>0</v>
      </c>
      <c r="K159" t="s">
        <v>163</v>
      </c>
      <c r="L159" t="s">
        <v>824</v>
      </c>
    </row>
    <row r="160" spans="1:12" x14ac:dyDescent="0.25">
      <c r="A160" t="s">
        <v>307</v>
      </c>
      <c r="B160" t="s">
        <v>307</v>
      </c>
      <c r="C160" t="s">
        <v>125</v>
      </c>
      <c r="D160" s="22">
        <v>0</v>
      </c>
      <c r="E160" s="22">
        <v>1</v>
      </c>
      <c r="F160" s="1"/>
      <c r="G160" s="1"/>
      <c r="H160" s="15"/>
      <c r="I160" s="15"/>
      <c r="J160">
        <f>Table2[[#This Row],[Cost unitar]]*Table2[[#This Row],[Stoc Depozit]]</f>
        <v>0</v>
      </c>
      <c r="K160" t="s">
        <v>163</v>
      </c>
      <c r="L160" t="s">
        <v>824</v>
      </c>
    </row>
    <row r="161" spans="1:12" x14ac:dyDescent="0.25">
      <c r="A161" t="s">
        <v>308</v>
      </c>
      <c r="B161" t="s">
        <v>308</v>
      </c>
      <c r="C161" t="s">
        <v>322</v>
      </c>
      <c r="D161" s="22">
        <v>0</v>
      </c>
      <c r="E161" s="22">
        <v>1</v>
      </c>
      <c r="F161" s="1"/>
      <c r="G161" s="1"/>
      <c r="H161" s="15"/>
      <c r="I161" s="15"/>
      <c r="J161">
        <f>Table2[[#This Row],[Cost unitar]]*Table2[[#This Row],[Stoc Depozit]]</f>
        <v>0</v>
      </c>
      <c r="K161" t="s">
        <v>163</v>
      </c>
      <c r="L161" t="s">
        <v>824</v>
      </c>
    </row>
    <row r="162" spans="1:12" x14ac:dyDescent="0.25">
      <c r="A162" t="s">
        <v>309</v>
      </c>
      <c r="B162" t="s">
        <v>309</v>
      </c>
      <c r="C162" t="s">
        <v>323</v>
      </c>
      <c r="D162" s="22">
        <v>0</v>
      </c>
      <c r="E162" s="22">
        <v>1</v>
      </c>
      <c r="F162" s="1"/>
      <c r="G162" s="1"/>
      <c r="H162" s="15"/>
      <c r="I162" s="15"/>
      <c r="J162">
        <f>Table2[[#This Row],[Cost unitar]]*Table2[[#This Row],[Stoc Depozit]]</f>
        <v>0</v>
      </c>
      <c r="K162" t="s">
        <v>163</v>
      </c>
      <c r="L162" t="s">
        <v>824</v>
      </c>
    </row>
    <row r="163" spans="1:12" x14ac:dyDescent="0.25">
      <c r="A163" t="s">
        <v>310</v>
      </c>
      <c r="B163" t="s">
        <v>310</v>
      </c>
      <c r="C163" t="s">
        <v>324</v>
      </c>
      <c r="D163" s="22">
        <v>0</v>
      </c>
      <c r="E163" s="22">
        <v>1</v>
      </c>
      <c r="F163" s="1"/>
      <c r="G163" s="1"/>
      <c r="H163" s="15"/>
      <c r="I163" s="15"/>
      <c r="J163">
        <f>Table2[[#This Row],[Cost unitar]]*Table2[[#This Row],[Stoc Depozit]]</f>
        <v>0</v>
      </c>
      <c r="K163" t="s">
        <v>163</v>
      </c>
      <c r="L163" t="s">
        <v>824</v>
      </c>
    </row>
    <row r="164" spans="1:12" x14ac:dyDescent="0.25">
      <c r="A164" t="s">
        <v>311</v>
      </c>
      <c r="B164" t="s">
        <v>311</v>
      </c>
      <c r="C164" t="s">
        <v>325</v>
      </c>
      <c r="D164" s="22">
        <v>0</v>
      </c>
      <c r="E164" s="22">
        <v>1</v>
      </c>
      <c r="F164" s="1"/>
      <c r="G164" s="1"/>
      <c r="H164" s="15"/>
      <c r="I164" s="15"/>
      <c r="J164">
        <f>Table2[[#This Row],[Cost unitar]]*Table2[[#This Row],[Stoc Depozit]]</f>
        <v>0</v>
      </c>
      <c r="K164" t="s">
        <v>163</v>
      </c>
      <c r="L164" t="s">
        <v>824</v>
      </c>
    </row>
    <row r="165" spans="1:12" x14ac:dyDescent="0.25">
      <c r="A165" t="s">
        <v>312</v>
      </c>
      <c r="B165" t="s">
        <v>312</v>
      </c>
      <c r="C165" t="s">
        <v>326</v>
      </c>
      <c r="D165" s="22">
        <v>0</v>
      </c>
      <c r="E165" s="22">
        <v>1</v>
      </c>
      <c r="F165" s="1"/>
      <c r="G165" s="1"/>
      <c r="H165" s="15"/>
      <c r="I165" s="15"/>
      <c r="J165">
        <f>Table2[[#This Row],[Cost unitar]]*Table2[[#This Row],[Stoc Depozit]]</f>
        <v>0</v>
      </c>
      <c r="K165" t="s">
        <v>163</v>
      </c>
      <c r="L165" t="s">
        <v>824</v>
      </c>
    </row>
    <row r="166" spans="1:12" x14ac:dyDescent="0.25">
      <c r="A166" t="s">
        <v>313</v>
      </c>
      <c r="B166" t="s">
        <v>313</v>
      </c>
      <c r="C166" t="s">
        <v>326</v>
      </c>
      <c r="D166" s="22">
        <v>0</v>
      </c>
      <c r="E166" s="22">
        <v>1</v>
      </c>
      <c r="F166" s="1"/>
      <c r="G166" s="1"/>
      <c r="H166" s="15"/>
      <c r="I166" s="15"/>
      <c r="J166">
        <f>Table2[[#This Row],[Cost unitar]]*Table2[[#This Row],[Stoc Depozit]]</f>
        <v>0</v>
      </c>
      <c r="K166" t="s">
        <v>163</v>
      </c>
      <c r="L166" t="s">
        <v>824</v>
      </c>
    </row>
    <row r="167" spans="1:12" x14ac:dyDescent="0.25">
      <c r="A167" t="s">
        <v>329</v>
      </c>
      <c r="B167" t="s">
        <v>329</v>
      </c>
      <c r="C167" t="s">
        <v>327</v>
      </c>
      <c r="D167" s="22">
        <v>0</v>
      </c>
      <c r="E167" s="22">
        <v>1</v>
      </c>
      <c r="F167" s="1"/>
      <c r="G167" s="1"/>
      <c r="H167" s="15"/>
      <c r="I167" s="15"/>
      <c r="J167">
        <f>Table2[[#This Row],[Cost unitar]]*Table2[[#This Row],[Stoc Depozit]]</f>
        <v>0</v>
      </c>
      <c r="K167" t="s">
        <v>163</v>
      </c>
      <c r="L167" t="s">
        <v>824</v>
      </c>
    </row>
    <row r="168" spans="1:12" x14ac:dyDescent="0.25">
      <c r="A168" t="s">
        <v>330</v>
      </c>
      <c r="B168" t="s">
        <v>330</v>
      </c>
      <c r="C168" t="s">
        <v>328</v>
      </c>
      <c r="D168" s="22">
        <v>0</v>
      </c>
      <c r="E168" s="22">
        <v>1</v>
      </c>
      <c r="F168" s="1"/>
      <c r="G168" s="1"/>
      <c r="H168" s="15"/>
      <c r="I168" s="15"/>
      <c r="J168">
        <f>Table2[[#This Row],[Cost unitar]]*Table2[[#This Row],[Stoc Depozit]]</f>
        <v>0</v>
      </c>
      <c r="K168" t="s">
        <v>163</v>
      </c>
      <c r="L168" t="s">
        <v>824</v>
      </c>
    </row>
    <row r="169" spans="1:12" x14ac:dyDescent="0.25">
      <c r="A169" t="s">
        <v>331</v>
      </c>
      <c r="B169" t="s">
        <v>331</v>
      </c>
      <c r="C169" t="s">
        <v>343</v>
      </c>
      <c r="D169" s="22">
        <v>0</v>
      </c>
      <c r="E169" s="22">
        <v>1</v>
      </c>
      <c r="F169" s="1"/>
      <c r="G169" s="1"/>
      <c r="H169" s="15"/>
      <c r="I169" s="15"/>
      <c r="J169">
        <f>Table2[[#This Row],[Cost unitar]]*Table2[[#This Row],[Stoc Depozit]]</f>
        <v>0</v>
      </c>
      <c r="K169" t="s">
        <v>163</v>
      </c>
      <c r="L169" t="s">
        <v>824</v>
      </c>
    </row>
    <row r="170" spans="1:12" x14ac:dyDescent="0.25">
      <c r="A170" t="s">
        <v>332</v>
      </c>
      <c r="B170" t="s">
        <v>332</v>
      </c>
      <c r="C170" t="s">
        <v>344</v>
      </c>
      <c r="D170" s="22">
        <v>0</v>
      </c>
      <c r="E170" s="22">
        <v>1</v>
      </c>
      <c r="F170" s="1"/>
      <c r="G170" s="1"/>
      <c r="H170" s="15"/>
      <c r="I170" s="15"/>
      <c r="J170">
        <f>Table2[[#This Row],[Cost unitar]]*Table2[[#This Row],[Stoc Depozit]]</f>
        <v>0</v>
      </c>
      <c r="K170" t="s">
        <v>163</v>
      </c>
      <c r="L170" t="s">
        <v>824</v>
      </c>
    </row>
    <row r="171" spans="1:12" x14ac:dyDescent="0.25">
      <c r="A171" t="s">
        <v>333</v>
      </c>
      <c r="B171" t="s">
        <v>333</v>
      </c>
      <c r="C171" t="s">
        <v>345</v>
      </c>
      <c r="D171" s="22">
        <v>0</v>
      </c>
      <c r="E171" s="22">
        <v>1</v>
      </c>
      <c r="F171" s="1"/>
      <c r="G171" s="1"/>
      <c r="H171" s="15"/>
      <c r="I171" s="15"/>
      <c r="J171">
        <f>Table2[[#This Row],[Cost unitar]]*Table2[[#This Row],[Stoc Depozit]]</f>
        <v>0</v>
      </c>
      <c r="K171" t="s">
        <v>163</v>
      </c>
      <c r="L171" t="s">
        <v>824</v>
      </c>
    </row>
    <row r="172" spans="1:12" x14ac:dyDescent="0.25">
      <c r="A172" t="s">
        <v>334</v>
      </c>
      <c r="B172" t="s">
        <v>334</v>
      </c>
      <c r="C172" t="s">
        <v>346</v>
      </c>
      <c r="D172" s="22">
        <v>0</v>
      </c>
      <c r="E172" s="22">
        <v>1</v>
      </c>
      <c r="F172" s="1"/>
      <c r="G172" s="1"/>
      <c r="H172" s="15"/>
      <c r="I172" s="15"/>
      <c r="J172">
        <f>Table2[[#This Row],[Cost unitar]]*Table2[[#This Row],[Stoc Depozit]]</f>
        <v>0</v>
      </c>
      <c r="K172" t="s">
        <v>163</v>
      </c>
      <c r="L172" t="s">
        <v>824</v>
      </c>
    </row>
    <row r="173" spans="1:12" x14ac:dyDescent="0.25">
      <c r="A173" t="s">
        <v>335</v>
      </c>
      <c r="B173" t="s">
        <v>335</v>
      </c>
      <c r="C173" t="s">
        <v>347</v>
      </c>
      <c r="D173" s="22">
        <v>0</v>
      </c>
      <c r="E173" s="22">
        <v>1</v>
      </c>
      <c r="F173" s="1"/>
      <c r="G173" s="1"/>
      <c r="H173" s="15"/>
      <c r="I173" s="15"/>
      <c r="J173">
        <f>Table2[[#This Row],[Cost unitar]]*Table2[[#This Row],[Stoc Depozit]]</f>
        <v>0</v>
      </c>
      <c r="K173" t="s">
        <v>163</v>
      </c>
      <c r="L173" t="s">
        <v>824</v>
      </c>
    </row>
    <row r="174" spans="1:12" x14ac:dyDescent="0.25">
      <c r="A174" t="s">
        <v>336</v>
      </c>
      <c r="B174" t="s">
        <v>336</v>
      </c>
      <c r="C174" t="s">
        <v>349</v>
      </c>
      <c r="D174" s="22">
        <v>0</v>
      </c>
      <c r="E174" s="22">
        <v>1</v>
      </c>
      <c r="F174" s="1"/>
      <c r="G174" s="1"/>
      <c r="H174" s="15"/>
      <c r="I174" s="15"/>
      <c r="J174">
        <f>Table2[[#This Row],[Cost unitar]]*Table2[[#This Row],[Stoc Depozit]]</f>
        <v>0</v>
      </c>
      <c r="K174" t="s">
        <v>163</v>
      </c>
      <c r="L174" t="s">
        <v>824</v>
      </c>
    </row>
    <row r="175" spans="1:12" x14ac:dyDescent="0.25">
      <c r="A175" t="s">
        <v>337</v>
      </c>
      <c r="B175" t="s">
        <v>337</v>
      </c>
      <c r="C175" t="s">
        <v>348</v>
      </c>
      <c r="D175" s="22">
        <v>0</v>
      </c>
      <c r="E175" s="22">
        <v>1</v>
      </c>
      <c r="F175" s="1"/>
      <c r="G175" s="1"/>
      <c r="H175" s="15"/>
      <c r="I175" s="15"/>
      <c r="J175">
        <f>Table2[[#This Row],[Cost unitar]]*Table2[[#This Row],[Stoc Depozit]]</f>
        <v>0</v>
      </c>
      <c r="K175" t="s">
        <v>163</v>
      </c>
      <c r="L175" t="s">
        <v>824</v>
      </c>
    </row>
    <row r="176" spans="1:12" x14ac:dyDescent="0.25">
      <c r="A176" t="s">
        <v>338</v>
      </c>
      <c r="B176" t="s">
        <v>338</v>
      </c>
      <c r="C176" t="s">
        <v>350</v>
      </c>
      <c r="D176" s="22">
        <v>1</v>
      </c>
      <c r="E176" s="22">
        <v>0</v>
      </c>
      <c r="F176" s="1"/>
      <c r="G176" s="1"/>
      <c r="H176" s="15"/>
      <c r="I176" s="15"/>
      <c r="J176">
        <f>Table2[[#This Row],[Cost unitar]]*Table2[[#This Row],[Stoc Depozit]]</f>
        <v>0</v>
      </c>
      <c r="K176" t="s">
        <v>78</v>
      </c>
    </row>
    <row r="177" spans="1:14" x14ac:dyDescent="0.25">
      <c r="A177" t="s">
        <v>339</v>
      </c>
      <c r="B177" t="s">
        <v>339</v>
      </c>
      <c r="C177" t="s">
        <v>351</v>
      </c>
      <c r="D177" s="22">
        <v>1</v>
      </c>
      <c r="E177" s="22">
        <v>0</v>
      </c>
      <c r="F177" s="1"/>
      <c r="G177" s="1"/>
      <c r="H177" s="15"/>
      <c r="I177" s="15"/>
      <c r="J177">
        <f>Table2[[#This Row],[Cost unitar]]*Table2[[#This Row],[Stoc Depozit]]</f>
        <v>0</v>
      </c>
      <c r="K177" t="s">
        <v>78</v>
      </c>
    </row>
    <row r="178" spans="1:14" x14ac:dyDescent="0.25">
      <c r="A178" t="s">
        <v>340</v>
      </c>
      <c r="B178" t="s">
        <v>340</v>
      </c>
      <c r="C178" t="s">
        <v>352</v>
      </c>
      <c r="D178" s="22">
        <v>1</v>
      </c>
      <c r="E178" s="22">
        <v>0</v>
      </c>
      <c r="F178" s="1"/>
      <c r="G178" s="1"/>
      <c r="H178" s="15"/>
      <c r="I178" s="15"/>
      <c r="J178">
        <f>Table2[[#This Row],[Cost unitar]]*Table2[[#This Row],[Stoc Depozit]]</f>
        <v>0</v>
      </c>
      <c r="K178" t="s">
        <v>78</v>
      </c>
    </row>
    <row r="179" spans="1:14" x14ac:dyDescent="0.25">
      <c r="A179" t="s">
        <v>341</v>
      </c>
      <c r="B179" t="s">
        <v>341</v>
      </c>
      <c r="C179" t="s">
        <v>627</v>
      </c>
      <c r="D179" s="22">
        <v>0</v>
      </c>
      <c r="E179" s="22">
        <v>0</v>
      </c>
      <c r="F179" s="1"/>
      <c r="G179" s="1"/>
      <c r="H179" s="15"/>
      <c r="I179" s="15"/>
      <c r="J179">
        <f>Table2[[#This Row],[Cost unitar]]*Table2[[#This Row],[Stoc Depozit]]</f>
        <v>0</v>
      </c>
      <c r="K179" t="s">
        <v>628</v>
      </c>
      <c r="L179" t="s">
        <v>1011</v>
      </c>
    </row>
    <row r="180" spans="1:14" x14ac:dyDescent="0.25">
      <c r="A180" t="s">
        <v>342</v>
      </c>
      <c r="B180" t="s">
        <v>342</v>
      </c>
      <c r="C180" t="s">
        <v>626</v>
      </c>
      <c r="D180" s="22">
        <v>0</v>
      </c>
      <c r="E180" s="22">
        <v>0</v>
      </c>
      <c r="F180" s="1"/>
      <c r="G180" s="1"/>
      <c r="H180" s="15"/>
      <c r="I180" s="15"/>
      <c r="J180">
        <f>Table2[[#This Row],[Cost unitar]]*Table2[[#This Row],[Stoc Depozit]]</f>
        <v>0</v>
      </c>
      <c r="K180" t="s">
        <v>628</v>
      </c>
      <c r="L180" t="s">
        <v>1011</v>
      </c>
    </row>
    <row r="181" spans="1:14" x14ac:dyDescent="0.25">
      <c r="A181" t="s">
        <v>1009</v>
      </c>
      <c r="C181" t="s">
        <v>1010</v>
      </c>
      <c r="D181" s="22"/>
      <c r="E181" s="22">
        <v>0</v>
      </c>
      <c r="F181" s="1"/>
      <c r="G181" s="1"/>
      <c r="H181" s="15"/>
      <c r="I181" s="15"/>
      <c r="J181">
        <f>Table2[[#This Row],[Cost unitar]]*Table2[[#This Row],[Stoc Depozit]]</f>
        <v>0</v>
      </c>
      <c r="K181" t="s">
        <v>623</v>
      </c>
      <c r="L181" t="s">
        <v>1011</v>
      </c>
    </row>
    <row r="182" spans="1:14" x14ac:dyDescent="0.25">
      <c r="A182" t="s">
        <v>353</v>
      </c>
      <c r="B182" t="s">
        <v>353</v>
      </c>
      <c r="C182" t="s">
        <v>367</v>
      </c>
      <c r="D182" s="22">
        <v>1</v>
      </c>
      <c r="E182" s="22">
        <v>0</v>
      </c>
      <c r="F182" s="1"/>
      <c r="G182" s="1"/>
      <c r="H182" s="15"/>
      <c r="I182" s="15"/>
      <c r="J182">
        <f>Table2[[#This Row],[Cost unitar]]*Table2[[#This Row],[Stoc Depozit]]</f>
        <v>0</v>
      </c>
      <c r="K182" t="s">
        <v>78</v>
      </c>
    </row>
    <row r="183" spans="1:14" x14ac:dyDescent="0.25">
      <c r="A183" t="s">
        <v>354</v>
      </c>
      <c r="B183" t="s">
        <v>354</v>
      </c>
      <c r="C183" t="s">
        <v>368</v>
      </c>
      <c r="D183" s="22">
        <v>1</v>
      </c>
      <c r="E183" s="22">
        <v>0</v>
      </c>
      <c r="F183" s="1"/>
      <c r="G183" s="1"/>
      <c r="H183" s="15"/>
      <c r="I183" s="15"/>
      <c r="J183">
        <f>Table2[[#This Row],[Cost unitar]]*Table2[[#This Row],[Stoc Depozit]]</f>
        <v>0</v>
      </c>
      <c r="K183" t="s">
        <v>78</v>
      </c>
    </row>
    <row r="184" spans="1:14" x14ac:dyDescent="0.25">
      <c r="A184" t="s">
        <v>355</v>
      </c>
      <c r="B184" t="s">
        <v>355</v>
      </c>
      <c r="C184" t="s">
        <v>376</v>
      </c>
      <c r="D184" s="22">
        <v>0</v>
      </c>
      <c r="E184" s="22">
        <v>0</v>
      </c>
      <c r="F184" s="1"/>
      <c r="G184" s="1"/>
      <c r="H184" s="15"/>
      <c r="I184" s="15"/>
      <c r="J184">
        <f>Table2[[#This Row],[Cost unitar]]*Table2[[#This Row],[Stoc Depozit]]</f>
        <v>0</v>
      </c>
      <c r="K184" t="s">
        <v>970</v>
      </c>
    </row>
    <row r="185" spans="1:14" x14ac:dyDescent="0.25">
      <c r="A185" t="s">
        <v>356</v>
      </c>
      <c r="B185" t="s">
        <v>356</v>
      </c>
      <c r="C185" t="s">
        <v>369</v>
      </c>
      <c r="D185" s="22">
        <v>1</v>
      </c>
      <c r="E185" s="22">
        <v>0</v>
      </c>
      <c r="F185" s="1"/>
      <c r="G185" s="1"/>
      <c r="H185" s="15"/>
      <c r="I185" s="15"/>
      <c r="J185">
        <f>Table2[[#This Row],[Cost unitar]]*Table2[[#This Row],[Stoc Depozit]]</f>
        <v>0</v>
      </c>
      <c r="K185" t="s">
        <v>78</v>
      </c>
    </row>
    <row r="186" spans="1:14" x14ac:dyDescent="0.25">
      <c r="A186" t="s">
        <v>357</v>
      </c>
      <c r="B186" t="s">
        <v>357</v>
      </c>
      <c r="C186" t="s">
        <v>370</v>
      </c>
      <c r="D186" s="22">
        <v>1</v>
      </c>
      <c r="E186" s="22">
        <v>0</v>
      </c>
      <c r="F186" s="1"/>
      <c r="G186" s="1"/>
      <c r="H186" s="15"/>
      <c r="I186" s="15"/>
      <c r="J186">
        <f>Table2[[#This Row],[Cost unitar]]*Table2[[#This Row],[Stoc Depozit]]</f>
        <v>0</v>
      </c>
      <c r="K186" t="s">
        <v>78</v>
      </c>
    </row>
    <row r="187" spans="1:14" x14ac:dyDescent="0.25">
      <c r="A187" t="s">
        <v>358</v>
      </c>
      <c r="B187" t="s">
        <v>358</v>
      </c>
      <c r="C187" t="s">
        <v>371</v>
      </c>
      <c r="D187" s="22">
        <v>1</v>
      </c>
      <c r="E187" s="22">
        <v>0</v>
      </c>
      <c r="F187" s="1"/>
      <c r="G187" s="1"/>
      <c r="H187" s="15"/>
      <c r="I187" s="15"/>
      <c r="J187">
        <f>Table2[[#This Row],[Cost unitar]]*Table2[[#This Row],[Stoc Depozit]]</f>
        <v>0</v>
      </c>
      <c r="K187" t="s">
        <v>78</v>
      </c>
    </row>
    <row r="188" spans="1:14" x14ac:dyDescent="0.25">
      <c r="A188" t="s">
        <v>359</v>
      </c>
      <c r="B188" t="s">
        <v>359</v>
      </c>
      <c r="C188" t="s">
        <v>375</v>
      </c>
      <c r="D188" s="22">
        <v>1</v>
      </c>
      <c r="E188" s="22">
        <v>0</v>
      </c>
      <c r="F188" s="1"/>
      <c r="G188" s="1"/>
      <c r="H188" s="15"/>
      <c r="I188" s="15"/>
      <c r="J188">
        <f>Table2[[#This Row],[Cost unitar]]*Table2[[#This Row],[Stoc Depozit]]</f>
        <v>0</v>
      </c>
      <c r="K188" t="s">
        <v>78</v>
      </c>
    </row>
    <row r="189" spans="1:14" x14ac:dyDescent="0.25">
      <c r="A189" t="s">
        <v>360</v>
      </c>
      <c r="B189" t="s">
        <v>360</v>
      </c>
      <c r="C189" t="s">
        <v>372</v>
      </c>
      <c r="D189" s="22">
        <v>1</v>
      </c>
      <c r="E189" s="22">
        <v>0</v>
      </c>
      <c r="F189" s="1"/>
      <c r="G189" s="1"/>
      <c r="H189" s="15"/>
      <c r="I189" s="15"/>
      <c r="J189">
        <f>Table2[[#This Row],[Cost unitar]]*Table2[[#This Row],[Stoc Depozit]]</f>
        <v>0</v>
      </c>
      <c r="K189" t="s">
        <v>78</v>
      </c>
    </row>
    <row r="190" spans="1:14" x14ac:dyDescent="0.25">
      <c r="A190" t="s">
        <v>361</v>
      </c>
      <c r="B190" t="s">
        <v>361</v>
      </c>
      <c r="C190" t="s">
        <v>373</v>
      </c>
      <c r="D190" s="22">
        <v>1</v>
      </c>
      <c r="E190" s="22">
        <v>0</v>
      </c>
      <c r="F190" s="1"/>
      <c r="G190" s="1"/>
      <c r="H190" s="15"/>
      <c r="I190" s="15"/>
      <c r="J190">
        <f>Table2[[#This Row],[Cost unitar]]*Table2[[#This Row],[Stoc Depozit]]</f>
        <v>0</v>
      </c>
      <c r="K190" t="s">
        <v>78</v>
      </c>
    </row>
    <row r="191" spans="1:14" x14ac:dyDescent="0.25">
      <c r="A191" t="s">
        <v>362</v>
      </c>
      <c r="B191" t="s">
        <v>362</v>
      </c>
      <c r="C191" t="s">
        <v>374</v>
      </c>
      <c r="D191" s="22">
        <v>1</v>
      </c>
      <c r="E191" s="22">
        <v>0</v>
      </c>
      <c r="F191" s="1"/>
      <c r="G191" s="1"/>
      <c r="H191" s="15"/>
      <c r="I191" s="15"/>
      <c r="J191">
        <f>Table2[[#This Row],[Cost unitar]]*Table2[[#This Row],[Stoc Depozit]]</f>
        <v>0</v>
      </c>
      <c r="K191" t="s">
        <v>78</v>
      </c>
      <c r="N191" t="s">
        <v>244</v>
      </c>
    </row>
    <row r="192" spans="1:14" x14ac:dyDescent="0.25">
      <c r="A192" t="s">
        <v>363</v>
      </c>
      <c r="B192" t="s">
        <v>363</v>
      </c>
      <c r="C192" t="s">
        <v>383</v>
      </c>
      <c r="D192" s="22">
        <v>1</v>
      </c>
      <c r="E192" s="22">
        <v>0</v>
      </c>
      <c r="F192" s="1"/>
      <c r="G192" s="1"/>
      <c r="H192" s="15"/>
      <c r="I192" s="15"/>
      <c r="J192">
        <f>Table2[[#This Row],[Cost unitar]]*Table2[[#This Row],[Stoc Depozit]]</f>
        <v>0</v>
      </c>
      <c r="K192" t="s">
        <v>78</v>
      </c>
    </row>
    <row r="193" spans="1:11" x14ac:dyDescent="0.25">
      <c r="A193" t="s">
        <v>364</v>
      </c>
      <c r="B193" t="s">
        <v>364</v>
      </c>
      <c r="C193" t="s">
        <v>384</v>
      </c>
      <c r="D193" s="22">
        <v>1</v>
      </c>
      <c r="E193" s="22">
        <v>0</v>
      </c>
      <c r="F193" s="1"/>
      <c r="G193" s="1"/>
      <c r="H193" s="15"/>
      <c r="I193" s="15"/>
      <c r="J193">
        <f>Table2[[#This Row],[Cost unitar]]*Table2[[#This Row],[Stoc Depozit]]</f>
        <v>0</v>
      </c>
      <c r="K193" t="s">
        <v>78</v>
      </c>
    </row>
    <row r="194" spans="1:11" x14ac:dyDescent="0.25">
      <c r="A194" t="s">
        <v>365</v>
      </c>
      <c r="B194" t="s">
        <v>365</v>
      </c>
      <c r="C194" t="s">
        <v>385</v>
      </c>
      <c r="D194" s="22">
        <v>1</v>
      </c>
      <c r="E194" s="22">
        <v>0</v>
      </c>
      <c r="F194" s="1"/>
      <c r="G194" s="1"/>
      <c r="H194" s="15"/>
      <c r="I194" s="15"/>
      <c r="J194">
        <f>Table2[[#This Row],[Cost unitar]]*Table2[[#This Row],[Stoc Depozit]]</f>
        <v>0</v>
      </c>
      <c r="K194" t="s">
        <v>78</v>
      </c>
    </row>
    <row r="195" spans="1:11" x14ac:dyDescent="0.25">
      <c r="A195" t="s">
        <v>366</v>
      </c>
      <c r="B195" t="s">
        <v>366</v>
      </c>
      <c r="C195" t="s">
        <v>386</v>
      </c>
      <c r="D195" s="22">
        <v>1</v>
      </c>
      <c r="E195" s="22">
        <v>0</v>
      </c>
      <c r="F195" s="1"/>
      <c r="G195" s="1"/>
      <c r="H195" s="15"/>
      <c r="I195" s="15"/>
      <c r="J195">
        <f>Table2[[#This Row],[Cost unitar]]*Table2[[#This Row],[Stoc Depozit]]</f>
        <v>0</v>
      </c>
      <c r="K195" t="s">
        <v>78</v>
      </c>
    </row>
    <row r="196" spans="1:11" x14ac:dyDescent="0.25">
      <c r="A196" t="s">
        <v>377</v>
      </c>
      <c r="B196" t="s">
        <v>377</v>
      </c>
      <c r="C196" t="s">
        <v>387</v>
      </c>
      <c r="D196" s="22">
        <v>1</v>
      </c>
      <c r="E196" s="22">
        <v>0</v>
      </c>
      <c r="F196" s="1"/>
      <c r="G196" s="1"/>
      <c r="H196" s="15"/>
      <c r="I196" s="15"/>
      <c r="J196">
        <f>Table2[[#This Row],[Cost unitar]]*Table2[[#This Row],[Stoc Depozit]]</f>
        <v>0</v>
      </c>
      <c r="K196" t="s">
        <v>78</v>
      </c>
    </row>
    <row r="197" spans="1:11" x14ac:dyDescent="0.25">
      <c r="A197" t="s">
        <v>378</v>
      </c>
      <c r="B197" t="s">
        <v>378</v>
      </c>
      <c r="C197" t="s">
        <v>388</v>
      </c>
      <c r="D197" s="22">
        <v>1</v>
      </c>
      <c r="E197" s="22">
        <v>0</v>
      </c>
      <c r="F197" s="1"/>
      <c r="G197" s="1"/>
      <c r="H197" s="15"/>
      <c r="I197" s="15"/>
      <c r="J197">
        <f>Table2[[#This Row],[Cost unitar]]*Table2[[#This Row],[Stoc Depozit]]</f>
        <v>0</v>
      </c>
      <c r="K197" t="s">
        <v>78</v>
      </c>
    </row>
    <row r="198" spans="1:11" x14ac:dyDescent="0.25">
      <c r="A198" t="s">
        <v>379</v>
      </c>
      <c r="B198" t="s">
        <v>379</v>
      </c>
      <c r="C198" t="s">
        <v>389</v>
      </c>
      <c r="D198" s="22">
        <v>1</v>
      </c>
      <c r="E198" s="22">
        <v>0</v>
      </c>
      <c r="F198" s="1"/>
      <c r="G198" s="1"/>
      <c r="H198" s="15"/>
      <c r="I198" s="15"/>
      <c r="J198">
        <f>Table2[[#This Row],[Cost unitar]]*Table2[[#This Row],[Stoc Depozit]]</f>
        <v>0</v>
      </c>
      <c r="K198" t="s">
        <v>78</v>
      </c>
    </row>
    <row r="199" spans="1:11" x14ac:dyDescent="0.25">
      <c r="A199" t="s">
        <v>380</v>
      </c>
      <c r="B199" t="s">
        <v>380</v>
      </c>
      <c r="C199" t="s">
        <v>390</v>
      </c>
      <c r="D199" s="22">
        <v>1</v>
      </c>
      <c r="E199" s="22">
        <v>0</v>
      </c>
      <c r="F199" s="1"/>
      <c r="G199" s="1"/>
      <c r="H199" s="15"/>
      <c r="I199" s="15"/>
      <c r="J199">
        <f>Table2[[#This Row],[Cost unitar]]*Table2[[#This Row],[Stoc Depozit]]</f>
        <v>0</v>
      </c>
      <c r="K199" t="s">
        <v>78</v>
      </c>
    </row>
    <row r="200" spans="1:11" x14ac:dyDescent="0.25">
      <c r="A200" t="s">
        <v>381</v>
      </c>
      <c r="B200" t="s">
        <v>381</v>
      </c>
      <c r="C200" t="s">
        <v>391</v>
      </c>
      <c r="D200" s="22">
        <v>1</v>
      </c>
      <c r="E200" s="22">
        <v>0</v>
      </c>
      <c r="F200" s="1"/>
      <c r="G200" s="1"/>
      <c r="H200" s="15"/>
      <c r="I200" s="15"/>
      <c r="J200">
        <f>Table2[[#This Row],[Cost unitar]]*Table2[[#This Row],[Stoc Depozit]]</f>
        <v>0</v>
      </c>
      <c r="K200" t="s">
        <v>78</v>
      </c>
    </row>
    <row r="201" spans="1:11" x14ac:dyDescent="0.25">
      <c r="A201" t="s">
        <v>382</v>
      </c>
      <c r="B201" t="s">
        <v>382</v>
      </c>
      <c r="C201" t="s">
        <v>392</v>
      </c>
      <c r="D201" s="22">
        <v>1</v>
      </c>
      <c r="E201" s="22">
        <v>0</v>
      </c>
      <c r="F201" s="1"/>
      <c r="G201" s="1"/>
      <c r="H201" s="15"/>
      <c r="I201" s="15"/>
      <c r="J201">
        <f>Table2[[#This Row],[Cost unitar]]*Table2[[#This Row],[Stoc Depozit]]</f>
        <v>0</v>
      </c>
      <c r="K201" t="s">
        <v>78</v>
      </c>
    </row>
    <row r="202" spans="1:11" x14ac:dyDescent="0.25">
      <c r="A202" t="s">
        <v>399</v>
      </c>
      <c r="B202" t="s">
        <v>399</v>
      </c>
      <c r="C202" t="s">
        <v>393</v>
      </c>
      <c r="D202" s="22">
        <v>1</v>
      </c>
      <c r="E202" s="22">
        <v>0</v>
      </c>
      <c r="F202" s="1"/>
      <c r="G202" s="1"/>
      <c r="H202" s="15"/>
      <c r="I202" s="15"/>
      <c r="J202">
        <f>Table2[[#This Row],[Cost unitar]]*Table2[[#This Row],[Stoc Depozit]]</f>
        <v>0</v>
      </c>
      <c r="K202" t="s">
        <v>78</v>
      </c>
    </row>
    <row r="203" spans="1:11" x14ac:dyDescent="0.25">
      <c r="A203" t="s">
        <v>400</v>
      </c>
      <c r="B203" t="s">
        <v>400</v>
      </c>
      <c r="C203" t="s">
        <v>394</v>
      </c>
      <c r="D203" s="22">
        <v>1</v>
      </c>
      <c r="E203" s="22">
        <v>0</v>
      </c>
      <c r="F203" s="1"/>
      <c r="G203" s="1"/>
      <c r="H203" s="15"/>
      <c r="I203" s="15"/>
      <c r="J203">
        <f>Table2[[#This Row],[Cost unitar]]*Table2[[#This Row],[Stoc Depozit]]</f>
        <v>0</v>
      </c>
      <c r="K203" t="s">
        <v>78</v>
      </c>
    </row>
    <row r="204" spans="1:11" x14ac:dyDescent="0.25">
      <c r="A204" t="s">
        <v>401</v>
      </c>
      <c r="B204" t="s">
        <v>401</v>
      </c>
      <c r="C204" t="s">
        <v>395</v>
      </c>
      <c r="D204" s="22">
        <v>1</v>
      </c>
      <c r="E204" s="22">
        <v>0</v>
      </c>
      <c r="F204" s="1"/>
      <c r="G204" s="1"/>
      <c r="H204" s="15"/>
      <c r="I204" s="15"/>
      <c r="J204">
        <f>Table2[[#This Row],[Cost unitar]]*Table2[[#This Row],[Stoc Depozit]]</f>
        <v>0</v>
      </c>
      <c r="K204" t="s">
        <v>78</v>
      </c>
    </row>
    <row r="205" spans="1:11" x14ac:dyDescent="0.25">
      <c r="A205" t="s">
        <v>402</v>
      </c>
      <c r="B205" t="s">
        <v>402</v>
      </c>
      <c r="C205" t="s">
        <v>396</v>
      </c>
      <c r="D205" s="22">
        <v>1</v>
      </c>
      <c r="E205" s="22">
        <v>0</v>
      </c>
      <c r="F205" s="1"/>
      <c r="G205" s="1"/>
      <c r="H205" s="15"/>
      <c r="I205" s="15"/>
      <c r="J205">
        <f>Table2[[#This Row],[Cost unitar]]*Table2[[#This Row],[Stoc Depozit]]</f>
        <v>0</v>
      </c>
      <c r="K205" t="s">
        <v>78</v>
      </c>
    </row>
    <row r="206" spans="1:11" x14ac:dyDescent="0.25">
      <c r="A206" t="s">
        <v>403</v>
      </c>
      <c r="B206" t="s">
        <v>403</v>
      </c>
      <c r="C206" t="s">
        <v>397</v>
      </c>
      <c r="D206" s="22">
        <v>1</v>
      </c>
      <c r="E206" s="22">
        <v>0</v>
      </c>
      <c r="F206" s="1"/>
      <c r="G206" s="1"/>
      <c r="H206" s="15"/>
      <c r="I206" s="15"/>
      <c r="J206">
        <f>Table2[[#This Row],[Cost unitar]]*Table2[[#This Row],[Stoc Depozit]]</f>
        <v>0</v>
      </c>
      <c r="K206" t="s">
        <v>78</v>
      </c>
    </row>
    <row r="207" spans="1:11" x14ac:dyDescent="0.25">
      <c r="A207" t="s">
        <v>404</v>
      </c>
      <c r="B207" t="s">
        <v>404</v>
      </c>
      <c r="C207" t="s">
        <v>398</v>
      </c>
      <c r="D207" s="22">
        <v>1</v>
      </c>
      <c r="E207" s="22">
        <v>0</v>
      </c>
      <c r="F207" s="1"/>
      <c r="G207" s="1"/>
      <c r="H207" s="15"/>
      <c r="I207" s="15"/>
      <c r="J207">
        <f>Table2[[#This Row],[Cost unitar]]*Table2[[#This Row],[Stoc Depozit]]</f>
        <v>0</v>
      </c>
      <c r="K207" t="s">
        <v>78</v>
      </c>
    </row>
    <row r="208" spans="1:11" x14ac:dyDescent="0.25">
      <c r="A208" t="s">
        <v>405</v>
      </c>
      <c r="B208" t="s">
        <v>405</v>
      </c>
      <c r="C208" t="s">
        <v>259</v>
      </c>
      <c r="D208" s="22">
        <v>1</v>
      </c>
      <c r="E208" s="22">
        <v>0</v>
      </c>
      <c r="F208" s="1"/>
      <c r="G208" s="1"/>
      <c r="H208" s="15"/>
      <c r="I208" s="15"/>
      <c r="J208">
        <f>Table2[[#This Row],[Cost unitar]]*Table2[[#This Row],[Stoc Depozit]]</f>
        <v>0</v>
      </c>
      <c r="K208" t="s">
        <v>78</v>
      </c>
    </row>
    <row r="209" spans="1:13" x14ac:dyDescent="0.25">
      <c r="A209" t="s">
        <v>406</v>
      </c>
      <c r="B209" t="s">
        <v>406</v>
      </c>
      <c r="C209" t="s">
        <v>259</v>
      </c>
      <c r="D209" s="22">
        <v>1</v>
      </c>
      <c r="E209" s="22">
        <v>0</v>
      </c>
      <c r="F209" s="1"/>
      <c r="G209" s="1"/>
      <c r="H209" s="15"/>
      <c r="I209" s="15"/>
      <c r="J209">
        <f>Table2[[#This Row],[Cost unitar]]*Table2[[#This Row],[Stoc Depozit]]</f>
        <v>0</v>
      </c>
      <c r="K209" t="s">
        <v>78</v>
      </c>
    </row>
    <row r="210" spans="1:13" x14ac:dyDescent="0.25">
      <c r="A210" t="s">
        <v>407</v>
      </c>
      <c r="B210" t="s">
        <v>407</v>
      </c>
      <c r="C210" t="s">
        <v>259</v>
      </c>
      <c r="D210" s="22">
        <v>1</v>
      </c>
      <c r="E210" s="22">
        <v>0</v>
      </c>
      <c r="F210" s="1"/>
      <c r="G210" s="1"/>
      <c r="H210" s="15"/>
      <c r="I210" s="15"/>
      <c r="J210">
        <f>Table2[[#This Row],[Cost unitar]]*Table2[[#This Row],[Stoc Depozit]]</f>
        <v>0</v>
      </c>
      <c r="K210" t="s">
        <v>78</v>
      </c>
    </row>
    <row r="211" spans="1:13" x14ac:dyDescent="0.25">
      <c r="A211" t="s">
        <v>408</v>
      </c>
      <c r="B211" t="s">
        <v>408</v>
      </c>
      <c r="C211" t="s">
        <v>419</v>
      </c>
      <c r="D211" s="22">
        <v>1</v>
      </c>
      <c r="E211" s="22">
        <v>0</v>
      </c>
      <c r="F211" s="1"/>
      <c r="G211" s="1"/>
      <c r="H211" s="15"/>
      <c r="I211" s="15"/>
      <c r="J211">
        <f>Table2[[#This Row],[Cost unitar]]*Table2[[#This Row],[Stoc Depozit]]</f>
        <v>0</v>
      </c>
      <c r="K211" t="s">
        <v>78</v>
      </c>
    </row>
    <row r="212" spans="1:13" x14ac:dyDescent="0.25">
      <c r="A212" t="s">
        <v>409</v>
      </c>
      <c r="B212" t="s">
        <v>409</v>
      </c>
      <c r="C212" t="s">
        <v>420</v>
      </c>
      <c r="D212" s="22">
        <v>1</v>
      </c>
      <c r="E212" s="22">
        <v>0</v>
      </c>
      <c r="F212" s="1"/>
      <c r="G212" s="1"/>
      <c r="H212" s="15"/>
      <c r="I212" s="15"/>
      <c r="J212">
        <f>Table2[[#This Row],[Cost unitar]]*Table2[[#This Row],[Stoc Depozit]]</f>
        <v>0</v>
      </c>
      <c r="K212" t="s">
        <v>78</v>
      </c>
    </row>
    <row r="213" spans="1:13" x14ac:dyDescent="0.25">
      <c r="A213" t="s">
        <v>410</v>
      </c>
      <c r="B213" t="s">
        <v>410</v>
      </c>
      <c r="C213" t="s">
        <v>426</v>
      </c>
      <c r="D213" s="22">
        <v>1</v>
      </c>
      <c r="E213" s="22">
        <v>0</v>
      </c>
      <c r="F213" s="1"/>
      <c r="G213" s="1"/>
      <c r="H213" s="15"/>
      <c r="I213" s="15"/>
      <c r="J213">
        <f>Table2[[#This Row],[Cost unitar]]*Table2[[#This Row],[Stoc Depozit]]</f>
        <v>0</v>
      </c>
      <c r="K213" t="s">
        <v>78</v>
      </c>
    </row>
    <row r="214" spans="1:13" x14ac:dyDescent="0.25">
      <c r="A214" t="s">
        <v>411</v>
      </c>
      <c r="B214" t="s">
        <v>411</v>
      </c>
      <c r="C214" t="s">
        <v>421</v>
      </c>
      <c r="D214" s="22">
        <v>1</v>
      </c>
      <c r="E214" s="22">
        <v>0</v>
      </c>
      <c r="F214" s="1"/>
      <c r="G214" s="1"/>
      <c r="H214" s="15"/>
      <c r="I214" s="15"/>
      <c r="J214">
        <f>Table2[[#This Row],[Cost unitar]]*Table2[[#This Row],[Stoc Depozit]]</f>
        <v>0</v>
      </c>
      <c r="K214" t="s">
        <v>78</v>
      </c>
    </row>
    <row r="215" spans="1:13" x14ac:dyDescent="0.25">
      <c r="A215" t="s">
        <v>412</v>
      </c>
      <c r="B215" t="s">
        <v>412</v>
      </c>
      <c r="C215" t="s">
        <v>422</v>
      </c>
      <c r="D215" s="22">
        <v>1</v>
      </c>
      <c r="E215" s="22">
        <v>0</v>
      </c>
      <c r="F215" s="1"/>
      <c r="G215" s="1"/>
      <c r="H215" s="15"/>
      <c r="I215" s="15"/>
      <c r="J215">
        <f>Table2[[#This Row],[Cost unitar]]*Table2[[#This Row],[Stoc Depozit]]</f>
        <v>0</v>
      </c>
      <c r="K215" t="s">
        <v>78</v>
      </c>
    </row>
    <row r="216" spans="1:13" x14ac:dyDescent="0.25">
      <c r="A216" t="s">
        <v>413</v>
      </c>
      <c r="B216" t="s">
        <v>413</v>
      </c>
      <c r="C216" t="s">
        <v>423</v>
      </c>
      <c r="D216" s="22">
        <v>1</v>
      </c>
      <c r="E216" s="22">
        <v>0</v>
      </c>
      <c r="F216" s="1"/>
      <c r="G216" s="1"/>
      <c r="H216" s="15"/>
      <c r="I216" s="15"/>
      <c r="J216">
        <f>Table2[[#This Row],[Cost unitar]]*Table2[[#This Row],[Stoc Depozit]]</f>
        <v>0</v>
      </c>
      <c r="K216" t="s">
        <v>78</v>
      </c>
    </row>
    <row r="217" spans="1:13" x14ac:dyDescent="0.25">
      <c r="A217" t="s">
        <v>414</v>
      </c>
      <c r="B217" t="s">
        <v>414</v>
      </c>
      <c r="C217" t="s">
        <v>424</v>
      </c>
      <c r="D217" s="22">
        <v>1</v>
      </c>
      <c r="E217" s="22">
        <v>0</v>
      </c>
      <c r="F217" s="1"/>
      <c r="G217" s="1"/>
      <c r="H217" s="15"/>
      <c r="I217" s="15"/>
      <c r="J217">
        <f>Table2[[#This Row],[Cost unitar]]*Table2[[#This Row],[Stoc Depozit]]</f>
        <v>0</v>
      </c>
      <c r="K217" t="s">
        <v>78</v>
      </c>
    </row>
    <row r="218" spans="1:13" x14ac:dyDescent="0.25">
      <c r="A218" t="s">
        <v>415</v>
      </c>
      <c r="B218" t="s">
        <v>415</v>
      </c>
      <c r="C218" t="s">
        <v>425</v>
      </c>
      <c r="D218" s="22">
        <v>1</v>
      </c>
      <c r="E218" s="22">
        <v>0</v>
      </c>
      <c r="F218" s="1"/>
      <c r="G218" s="1"/>
      <c r="H218" s="15"/>
      <c r="I218" s="15"/>
      <c r="J218">
        <f>Table2[[#This Row],[Cost unitar]]*Table2[[#This Row],[Stoc Depozit]]</f>
        <v>0</v>
      </c>
      <c r="K218" t="s">
        <v>78</v>
      </c>
    </row>
    <row r="219" spans="1:13" x14ac:dyDescent="0.25">
      <c r="A219" t="s">
        <v>416</v>
      </c>
      <c r="B219" t="s">
        <v>416</v>
      </c>
      <c r="C219" t="s">
        <v>428</v>
      </c>
      <c r="D219" s="22">
        <v>0</v>
      </c>
      <c r="E219" s="22">
        <v>0</v>
      </c>
      <c r="F219" s="1"/>
      <c r="G219" s="1"/>
      <c r="H219" s="15"/>
      <c r="I219" s="15"/>
      <c r="J219">
        <f>Table2[[#This Row],[Cost unitar]]*Table2[[#This Row],[Stoc Depozit]]</f>
        <v>0</v>
      </c>
      <c r="K219" t="s">
        <v>828</v>
      </c>
      <c r="L219" t="s">
        <v>829</v>
      </c>
      <c r="M219" s="34">
        <v>46049</v>
      </c>
    </row>
    <row r="220" spans="1:13" x14ac:dyDescent="0.25">
      <c r="A220" t="s">
        <v>417</v>
      </c>
      <c r="B220" t="s">
        <v>417</v>
      </c>
      <c r="C220" t="s">
        <v>429</v>
      </c>
      <c r="D220" s="22">
        <v>0</v>
      </c>
      <c r="E220" s="22">
        <v>0</v>
      </c>
      <c r="F220" s="1"/>
      <c r="G220" s="1"/>
      <c r="H220" s="15"/>
      <c r="I220" s="15"/>
      <c r="J220">
        <f>Table2[[#This Row],[Cost unitar]]*Table2[[#This Row],[Stoc Depozit]]</f>
        <v>0</v>
      </c>
      <c r="K220" t="s">
        <v>78</v>
      </c>
    </row>
    <row r="221" spans="1:13" x14ac:dyDescent="0.25">
      <c r="A221" t="s">
        <v>418</v>
      </c>
      <c r="B221" t="s">
        <v>418</v>
      </c>
      <c r="C221" t="s">
        <v>430</v>
      </c>
      <c r="D221" s="22">
        <v>1</v>
      </c>
      <c r="E221" s="22">
        <v>0</v>
      </c>
      <c r="F221" s="1"/>
      <c r="G221" s="1"/>
      <c r="H221" s="15"/>
      <c r="I221" s="15"/>
      <c r="J221">
        <f>Table2[[#This Row],[Cost unitar]]*Table2[[#This Row],[Stoc Depozit]]</f>
        <v>0</v>
      </c>
      <c r="K221" t="s">
        <v>78</v>
      </c>
    </row>
    <row r="222" spans="1:13" x14ac:dyDescent="0.25">
      <c r="A222" t="s">
        <v>427</v>
      </c>
      <c r="B222" t="s">
        <v>427</v>
      </c>
      <c r="C222" t="s">
        <v>441</v>
      </c>
      <c r="D222" s="22">
        <v>1</v>
      </c>
      <c r="E222" s="22">
        <v>0</v>
      </c>
      <c r="F222" s="1"/>
      <c r="G222" s="1"/>
      <c r="H222" s="15"/>
      <c r="I222" s="15"/>
      <c r="J222">
        <f>Table2[[#This Row],[Cost unitar]]*Table2[[#This Row],[Stoc Depozit]]</f>
        <v>0</v>
      </c>
      <c r="K222" t="s">
        <v>78</v>
      </c>
    </row>
    <row r="223" spans="1:13" x14ac:dyDescent="0.25">
      <c r="A223" t="s">
        <v>431</v>
      </c>
      <c r="B223" t="s">
        <v>431</v>
      </c>
      <c r="C223" t="s">
        <v>442</v>
      </c>
      <c r="D223" s="22">
        <v>1</v>
      </c>
      <c r="E223" s="22">
        <v>0</v>
      </c>
      <c r="F223" s="1"/>
      <c r="G223" s="1"/>
      <c r="H223" s="15"/>
      <c r="I223" s="15"/>
      <c r="J223">
        <f>Table2[[#This Row],[Cost unitar]]*Table2[[#This Row],[Stoc Depozit]]</f>
        <v>0</v>
      </c>
      <c r="K223" t="s">
        <v>78</v>
      </c>
    </row>
    <row r="224" spans="1:13" x14ac:dyDescent="0.25">
      <c r="A224" t="s">
        <v>432</v>
      </c>
      <c r="B224" t="s">
        <v>432</v>
      </c>
      <c r="C224" t="s">
        <v>443</v>
      </c>
      <c r="D224" s="22">
        <v>1</v>
      </c>
      <c r="E224" s="22">
        <v>0</v>
      </c>
      <c r="F224" s="1"/>
      <c r="G224" s="1"/>
      <c r="H224" s="15"/>
      <c r="I224" s="15"/>
      <c r="J224">
        <f>Table2[[#This Row],[Cost unitar]]*Table2[[#This Row],[Stoc Depozit]]</f>
        <v>0</v>
      </c>
      <c r="K224" t="s">
        <v>78</v>
      </c>
    </row>
    <row r="225" spans="1:11" x14ac:dyDescent="0.25">
      <c r="A225" t="s">
        <v>433</v>
      </c>
      <c r="B225" t="s">
        <v>433</v>
      </c>
      <c r="C225" t="s">
        <v>444</v>
      </c>
      <c r="D225" s="22">
        <v>1</v>
      </c>
      <c r="E225" s="22">
        <v>0</v>
      </c>
      <c r="F225" s="1"/>
      <c r="G225" s="1"/>
      <c r="H225" s="15"/>
      <c r="I225" s="15"/>
      <c r="J225">
        <f>Table2[[#This Row],[Cost unitar]]*Table2[[#This Row],[Stoc Depozit]]</f>
        <v>0</v>
      </c>
      <c r="K225" t="s">
        <v>78</v>
      </c>
    </row>
    <row r="226" spans="1:11" x14ac:dyDescent="0.25">
      <c r="A226" t="s">
        <v>434</v>
      </c>
      <c r="B226" t="s">
        <v>434</v>
      </c>
      <c r="C226" t="s">
        <v>445</v>
      </c>
      <c r="D226" s="22">
        <v>1</v>
      </c>
      <c r="E226" s="22">
        <v>0</v>
      </c>
      <c r="F226" s="1"/>
      <c r="G226" s="1"/>
      <c r="H226" s="15"/>
      <c r="I226" s="15"/>
      <c r="J226">
        <f>Table2[[#This Row],[Cost unitar]]*Table2[[#This Row],[Stoc Depozit]]</f>
        <v>0</v>
      </c>
      <c r="K226" t="s">
        <v>78</v>
      </c>
    </row>
    <row r="227" spans="1:11" x14ac:dyDescent="0.25">
      <c r="A227" t="s">
        <v>435</v>
      </c>
      <c r="B227" t="s">
        <v>435</v>
      </c>
      <c r="C227" t="s">
        <v>446</v>
      </c>
      <c r="D227" s="22">
        <v>1</v>
      </c>
      <c r="E227" s="22">
        <v>0</v>
      </c>
      <c r="F227" s="1"/>
      <c r="G227" s="1"/>
      <c r="H227" s="15"/>
      <c r="I227" s="15"/>
      <c r="J227">
        <f>Table2[[#This Row],[Cost unitar]]*Table2[[#This Row],[Stoc Depozit]]</f>
        <v>0</v>
      </c>
      <c r="K227" t="s">
        <v>449</v>
      </c>
    </row>
    <row r="228" spans="1:11" x14ac:dyDescent="0.25">
      <c r="A228" t="s">
        <v>436</v>
      </c>
      <c r="B228" t="s">
        <v>436</v>
      </c>
      <c r="C228" t="s">
        <v>447</v>
      </c>
      <c r="D228" s="22">
        <v>1</v>
      </c>
      <c r="E228" s="22">
        <v>0</v>
      </c>
      <c r="F228" s="1"/>
      <c r="G228" s="1"/>
      <c r="H228" s="15"/>
      <c r="I228" s="15"/>
      <c r="J228">
        <f>Table2[[#This Row],[Cost unitar]]*Table2[[#This Row],[Stoc Depozit]]</f>
        <v>0</v>
      </c>
      <c r="K228" t="s">
        <v>449</v>
      </c>
    </row>
    <row r="229" spans="1:11" x14ac:dyDescent="0.25">
      <c r="A229" t="s">
        <v>437</v>
      </c>
      <c r="B229" t="s">
        <v>437</v>
      </c>
      <c r="C229" t="s">
        <v>448</v>
      </c>
      <c r="D229" s="22">
        <v>1</v>
      </c>
      <c r="E229" s="22">
        <v>0</v>
      </c>
      <c r="F229" s="1"/>
      <c r="G229" s="1"/>
      <c r="H229" s="15"/>
      <c r="I229" s="15"/>
      <c r="J229">
        <f>Table2[[#This Row],[Cost unitar]]*Table2[[#This Row],[Stoc Depozit]]</f>
        <v>0</v>
      </c>
      <c r="K229" t="s">
        <v>449</v>
      </c>
    </row>
    <row r="230" spans="1:11" x14ac:dyDescent="0.25">
      <c r="A230" t="s">
        <v>438</v>
      </c>
      <c r="B230" t="s">
        <v>438</v>
      </c>
      <c r="C230" t="s">
        <v>450</v>
      </c>
      <c r="D230" s="22">
        <v>1</v>
      </c>
      <c r="E230" s="22">
        <v>0</v>
      </c>
      <c r="F230" s="1"/>
      <c r="G230" s="1"/>
      <c r="H230" s="15"/>
      <c r="I230" s="15"/>
      <c r="J230">
        <f>Table2[[#This Row],[Cost unitar]]*Table2[[#This Row],[Stoc Depozit]]</f>
        <v>0</v>
      </c>
      <c r="K230" t="s">
        <v>449</v>
      </c>
    </row>
    <row r="231" spans="1:11" x14ac:dyDescent="0.25">
      <c r="A231" t="s">
        <v>439</v>
      </c>
      <c r="B231" t="s">
        <v>439</v>
      </c>
      <c r="C231" t="s">
        <v>451</v>
      </c>
      <c r="D231" s="22">
        <v>1</v>
      </c>
      <c r="E231" s="22">
        <v>0</v>
      </c>
      <c r="F231" s="1"/>
      <c r="G231" s="1"/>
      <c r="H231" s="15"/>
      <c r="I231" s="15"/>
      <c r="J231">
        <f>Table2[[#This Row],[Cost unitar]]*Table2[[#This Row],[Stoc Depozit]]</f>
        <v>0</v>
      </c>
      <c r="K231" t="s">
        <v>449</v>
      </c>
    </row>
    <row r="232" spans="1:11" x14ac:dyDescent="0.25">
      <c r="A232" t="s">
        <v>440</v>
      </c>
      <c r="B232" t="s">
        <v>440</v>
      </c>
      <c r="C232" t="s">
        <v>452</v>
      </c>
      <c r="D232" s="22">
        <v>1</v>
      </c>
      <c r="E232" s="22">
        <v>0</v>
      </c>
      <c r="F232" s="1"/>
      <c r="G232" s="1"/>
      <c r="H232" s="15"/>
      <c r="I232" s="15"/>
      <c r="J232">
        <f>Table2[[#This Row],[Cost unitar]]*Table2[[#This Row],[Stoc Depozit]]</f>
        <v>0</v>
      </c>
      <c r="K232" t="s">
        <v>449</v>
      </c>
    </row>
    <row r="233" spans="1:11" x14ac:dyDescent="0.25">
      <c r="A233" t="s">
        <v>454</v>
      </c>
      <c r="B233" t="s">
        <v>454</v>
      </c>
      <c r="C233" t="s">
        <v>453</v>
      </c>
      <c r="D233" s="22">
        <v>1</v>
      </c>
      <c r="E233" s="22">
        <v>0</v>
      </c>
      <c r="F233" s="1"/>
      <c r="G233" s="1"/>
      <c r="H233" s="15"/>
      <c r="I233" s="15"/>
      <c r="J233">
        <f>Table2[[#This Row],[Cost unitar]]*Table2[[#This Row],[Stoc Depozit]]</f>
        <v>0</v>
      </c>
      <c r="K233" t="s">
        <v>449</v>
      </c>
    </row>
    <row r="234" spans="1:11" x14ac:dyDescent="0.25">
      <c r="A234" t="s">
        <v>455</v>
      </c>
      <c r="B234" t="s">
        <v>455</v>
      </c>
      <c r="C234" t="s">
        <v>461</v>
      </c>
      <c r="D234" s="22">
        <v>1</v>
      </c>
      <c r="E234" s="22">
        <v>0</v>
      </c>
      <c r="F234" s="1"/>
      <c r="G234" s="1"/>
      <c r="H234" s="15"/>
      <c r="I234" s="15"/>
      <c r="J234">
        <f>Table2[[#This Row],[Cost unitar]]*Table2[[#This Row],[Stoc Depozit]]</f>
        <v>0</v>
      </c>
      <c r="K234" t="s">
        <v>449</v>
      </c>
    </row>
    <row r="235" spans="1:11" x14ac:dyDescent="0.25">
      <c r="A235" t="s">
        <v>456</v>
      </c>
      <c r="B235" t="s">
        <v>456</v>
      </c>
      <c r="C235" t="s">
        <v>462</v>
      </c>
      <c r="D235" s="22">
        <v>1</v>
      </c>
      <c r="E235" s="22">
        <v>0</v>
      </c>
      <c r="F235" s="1"/>
      <c r="G235" s="1"/>
      <c r="H235" s="15"/>
      <c r="I235" s="15"/>
      <c r="J235">
        <f>Table2[[#This Row],[Cost unitar]]*Table2[[#This Row],[Stoc Depozit]]</f>
        <v>0</v>
      </c>
      <c r="K235" t="s">
        <v>449</v>
      </c>
    </row>
    <row r="236" spans="1:11" x14ac:dyDescent="0.25">
      <c r="A236" t="s">
        <v>457</v>
      </c>
      <c r="B236" t="s">
        <v>457</v>
      </c>
      <c r="C236" t="s">
        <v>463</v>
      </c>
      <c r="D236" s="22">
        <v>1</v>
      </c>
      <c r="E236" s="22">
        <v>0</v>
      </c>
      <c r="F236" s="1"/>
      <c r="G236" s="1"/>
      <c r="H236" s="15"/>
      <c r="I236" s="15"/>
      <c r="J236">
        <f>Table2[[#This Row],[Cost unitar]]*Table2[[#This Row],[Stoc Depozit]]</f>
        <v>0</v>
      </c>
      <c r="K236" t="s">
        <v>449</v>
      </c>
    </row>
    <row r="237" spans="1:11" x14ac:dyDescent="0.25">
      <c r="A237" t="s">
        <v>458</v>
      </c>
      <c r="B237" t="s">
        <v>458</v>
      </c>
      <c r="C237" t="s">
        <v>464</v>
      </c>
      <c r="D237" s="22">
        <v>1</v>
      </c>
      <c r="E237" s="22">
        <v>0</v>
      </c>
      <c r="F237" s="1"/>
      <c r="G237" s="1"/>
      <c r="H237" s="15"/>
      <c r="I237" s="15"/>
      <c r="J237">
        <f>Table2[[#This Row],[Cost unitar]]*Table2[[#This Row],[Stoc Depozit]]</f>
        <v>0</v>
      </c>
      <c r="K237" t="s">
        <v>449</v>
      </c>
    </row>
    <row r="238" spans="1:11" x14ac:dyDescent="0.25">
      <c r="A238" t="s">
        <v>459</v>
      </c>
      <c r="B238" t="s">
        <v>459</v>
      </c>
      <c r="C238" t="s">
        <v>465</v>
      </c>
      <c r="D238" s="22">
        <v>1</v>
      </c>
      <c r="E238" s="22">
        <v>0</v>
      </c>
      <c r="F238" s="1"/>
      <c r="G238" s="1"/>
      <c r="H238" s="15"/>
      <c r="I238" s="15"/>
      <c r="J238">
        <f>Table2[[#This Row],[Cost unitar]]*Table2[[#This Row],[Stoc Depozit]]</f>
        <v>0</v>
      </c>
      <c r="K238" t="s">
        <v>449</v>
      </c>
    </row>
    <row r="239" spans="1:11" x14ac:dyDescent="0.25">
      <c r="A239" t="s">
        <v>460</v>
      </c>
      <c r="B239" t="s">
        <v>460</v>
      </c>
      <c r="C239" t="s">
        <v>466</v>
      </c>
      <c r="D239" s="22">
        <v>1</v>
      </c>
      <c r="E239" s="22">
        <v>0</v>
      </c>
      <c r="F239" s="1"/>
      <c r="G239" s="1"/>
      <c r="H239" s="15"/>
      <c r="I239" s="15"/>
      <c r="J239">
        <f>Table2[[#This Row],[Cost unitar]]*Table2[[#This Row],[Stoc Depozit]]</f>
        <v>0</v>
      </c>
      <c r="K239" t="s">
        <v>449</v>
      </c>
    </row>
    <row r="240" spans="1:11" x14ac:dyDescent="0.25">
      <c r="A240" t="s">
        <v>467</v>
      </c>
      <c r="B240" t="s">
        <v>467</v>
      </c>
      <c r="C240" t="s">
        <v>474</v>
      </c>
      <c r="D240" s="22">
        <v>1</v>
      </c>
      <c r="E240" s="22">
        <v>0</v>
      </c>
      <c r="F240" s="1"/>
      <c r="G240" s="1"/>
      <c r="H240" s="15"/>
      <c r="I240" s="15"/>
      <c r="J240">
        <f>Table2[[#This Row],[Cost unitar]]*Table2[[#This Row],[Stoc Depozit]]</f>
        <v>0</v>
      </c>
      <c r="K240" t="s">
        <v>449</v>
      </c>
    </row>
    <row r="241" spans="1:13" x14ac:dyDescent="0.25">
      <c r="A241" t="s">
        <v>468</v>
      </c>
      <c r="B241" t="s">
        <v>468</v>
      </c>
      <c r="C241" t="s">
        <v>475</v>
      </c>
      <c r="D241" s="22">
        <v>1</v>
      </c>
      <c r="E241" s="22">
        <v>0</v>
      </c>
      <c r="F241" s="1"/>
      <c r="G241" s="1"/>
      <c r="H241" s="15"/>
      <c r="I241" s="15"/>
      <c r="J241">
        <f>Table2[[#This Row],[Cost unitar]]*Table2[[#This Row],[Stoc Depozit]]</f>
        <v>0</v>
      </c>
      <c r="K241" t="s">
        <v>822</v>
      </c>
    </row>
    <row r="242" spans="1:13" x14ac:dyDescent="0.25">
      <c r="A242" t="s">
        <v>469</v>
      </c>
      <c r="B242" t="s">
        <v>469</v>
      </c>
      <c r="C242" t="s">
        <v>476</v>
      </c>
      <c r="D242" s="22">
        <v>1</v>
      </c>
      <c r="E242" s="22">
        <v>0</v>
      </c>
      <c r="F242" s="1"/>
      <c r="G242" s="1"/>
      <c r="H242" s="15"/>
      <c r="I242" s="15"/>
      <c r="J242">
        <f>Table2[[#This Row],[Cost unitar]]*Table2[[#This Row],[Stoc Depozit]]</f>
        <v>0</v>
      </c>
      <c r="K242" t="s">
        <v>449</v>
      </c>
    </row>
    <row r="243" spans="1:13" x14ac:dyDescent="0.25">
      <c r="A243" t="s">
        <v>470</v>
      </c>
      <c r="B243" t="s">
        <v>470</v>
      </c>
      <c r="C243" t="s">
        <v>476</v>
      </c>
      <c r="D243" s="22">
        <v>1</v>
      </c>
      <c r="E243" s="22">
        <v>0</v>
      </c>
      <c r="F243" s="1"/>
      <c r="G243" s="1"/>
      <c r="H243" s="15"/>
      <c r="I243" s="15"/>
      <c r="J243">
        <f>Table2[[#This Row],[Cost unitar]]*Table2[[#This Row],[Stoc Depozit]]</f>
        <v>0</v>
      </c>
      <c r="K243" t="s">
        <v>449</v>
      </c>
    </row>
    <row r="244" spans="1:13" x14ac:dyDescent="0.25">
      <c r="A244" t="s">
        <v>471</v>
      </c>
      <c r="B244" t="s">
        <v>471</v>
      </c>
      <c r="C244" t="s">
        <v>426</v>
      </c>
      <c r="D244" s="22">
        <v>1</v>
      </c>
      <c r="E244" s="22">
        <v>0</v>
      </c>
      <c r="F244" s="1"/>
      <c r="G244" s="1"/>
      <c r="H244" s="15"/>
      <c r="I244" s="15"/>
      <c r="J244">
        <f>Table2[[#This Row],[Cost unitar]]*Table2[[#This Row],[Stoc Depozit]]</f>
        <v>0</v>
      </c>
      <c r="K244" t="s">
        <v>449</v>
      </c>
    </row>
    <row r="245" spans="1:13" x14ac:dyDescent="0.25">
      <c r="A245" t="s">
        <v>472</v>
      </c>
      <c r="B245" t="s">
        <v>472</v>
      </c>
      <c r="C245" t="s">
        <v>484</v>
      </c>
      <c r="D245" s="22">
        <v>1</v>
      </c>
      <c r="E245" s="22">
        <v>0</v>
      </c>
      <c r="F245" s="1"/>
      <c r="G245" s="1"/>
      <c r="H245" s="15"/>
      <c r="I245" s="15"/>
      <c r="J245">
        <f>Table2[[#This Row],[Cost unitar]]*Table2[[#This Row],[Stoc Depozit]]</f>
        <v>0</v>
      </c>
      <c r="K245" t="s">
        <v>449</v>
      </c>
    </row>
    <row r="246" spans="1:13" x14ac:dyDescent="0.25">
      <c r="A246" t="s">
        <v>473</v>
      </c>
      <c r="B246" t="s">
        <v>473</v>
      </c>
      <c r="C246" t="s">
        <v>485</v>
      </c>
      <c r="D246" s="22">
        <v>1</v>
      </c>
      <c r="E246" s="22">
        <v>0</v>
      </c>
      <c r="F246" s="1"/>
      <c r="G246" s="1"/>
      <c r="H246" s="15"/>
      <c r="I246" s="15"/>
      <c r="J246">
        <f>Table2[[#This Row],[Cost unitar]]*Table2[[#This Row],[Stoc Depozit]]</f>
        <v>0</v>
      </c>
      <c r="K246" t="s">
        <v>449</v>
      </c>
    </row>
    <row r="247" spans="1:13" x14ac:dyDescent="0.25">
      <c r="A247" t="s">
        <v>477</v>
      </c>
      <c r="B247" t="s">
        <v>477</v>
      </c>
      <c r="C247" t="s">
        <v>485</v>
      </c>
      <c r="D247" s="22">
        <v>1</v>
      </c>
      <c r="E247" s="22">
        <v>0</v>
      </c>
      <c r="F247" s="1"/>
      <c r="G247" s="1"/>
      <c r="H247" s="15"/>
      <c r="I247" s="15"/>
      <c r="J247">
        <f>Table2[[#This Row],[Cost unitar]]*Table2[[#This Row],[Stoc Depozit]]</f>
        <v>0</v>
      </c>
      <c r="K247" t="s">
        <v>449</v>
      </c>
    </row>
    <row r="248" spans="1:13" x14ac:dyDescent="0.25">
      <c r="A248" t="s">
        <v>478</v>
      </c>
      <c r="B248" t="s">
        <v>478</v>
      </c>
      <c r="C248" t="s">
        <v>570</v>
      </c>
      <c r="D248" s="22">
        <v>1</v>
      </c>
      <c r="E248" s="22">
        <v>0</v>
      </c>
      <c r="F248" s="1"/>
      <c r="G248" s="1"/>
      <c r="H248" s="15"/>
      <c r="I248" s="15"/>
      <c r="J248">
        <f>Table2[[#This Row],[Cost unitar]]*Table2[[#This Row],[Stoc Depozit]]</f>
        <v>0</v>
      </c>
      <c r="K248" t="s">
        <v>449</v>
      </c>
    </row>
    <row r="249" spans="1:13" x14ac:dyDescent="0.25">
      <c r="A249" t="s">
        <v>479</v>
      </c>
      <c r="B249" t="s">
        <v>479</v>
      </c>
      <c r="C249" t="s">
        <v>486</v>
      </c>
      <c r="D249" s="22">
        <v>1</v>
      </c>
      <c r="E249" s="22">
        <v>0</v>
      </c>
      <c r="F249" s="1"/>
      <c r="G249" s="1"/>
      <c r="H249" s="15"/>
      <c r="I249" s="15"/>
      <c r="J249">
        <f>Table2[[#This Row],[Cost unitar]]*Table2[[#This Row],[Stoc Depozit]]</f>
        <v>0</v>
      </c>
      <c r="K249" t="s">
        <v>449</v>
      </c>
    </row>
    <row r="250" spans="1:13" x14ac:dyDescent="0.25">
      <c r="A250" t="s">
        <v>480</v>
      </c>
      <c r="B250" t="s">
        <v>480</v>
      </c>
      <c r="C250" t="s">
        <v>489</v>
      </c>
      <c r="D250" s="22">
        <v>0</v>
      </c>
      <c r="E250" s="22">
        <v>1</v>
      </c>
      <c r="F250" s="1"/>
      <c r="G250" s="1"/>
      <c r="H250" s="15"/>
      <c r="I250" s="15"/>
      <c r="J250">
        <f>Table2[[#This Row],[Cost unitar]]*Table2[[#This Row],[Stoc Depozit]]</f>
        <v>0</v>
      </c>
      <c r="K250" t="s">
        <v>492</v>
      </c>
      <c r="L250" t="s">
        <v>822</v>
      </c>
      <c r="M250" s="34">
        <v>46055</v>
      </c>
    </row>
    <row r="251" spans="1:13" x14ac:dyDescent="0.25">
      <c r="A251" t="s">
        <v>481</v>
      </c>
      <c r="B251" t="s">
        <v>481</v>
      </c>
      <c r="C251" t="s">
        <v>490</v>
      </c>
      <c r="D251" s="22">
        <v>0</v>
      </c>
      <c r="E251" s="22">
        <v>1</v>
      </c>
      <c r="F251" s="1"/>
      <c r="G251" s="1"/>
      <c r="H251" s="15"/>
      <c r="I251" s="15"/>
      <c r="J251">
        <f>Table2[[#This Row],[Cost unitar]]*Table2[[#This Row],[Stoc Depozit]]</f>
        <v>0</v>
      </c>
      <c r="K251" t="s">
        <v>492</v>
      </c>
    </row>
    <row r="252" spans="1:13" x14ac:dyDescent="0.25">
      <c r="A252" t="s">
        <v>482</v>
      </c>
      <c r="B252" t="s">
        <v>482</v>
      </c>
      <c r="C252" t="s">
        <v>491</v>
      </c>
      <c r="D252" s="22">
        <v>0</v>
      </c>
      <c r="E252" s="22">
        <v>1</v>
      </c>
      <c r="F252" s="1"/>
      <c r="G252" s="1"/>
      <c r="H252" s="15"/>
      <c r="I252" s="15"/>
      <c r="J252">
        <f>Table2[[#This Row],[Cost unitar]]*Table2[[#This Row],[Stoc Depozit]]</f>
        <v>0</v>
      </c>
      <c r="K252" t="s">
        <v>492</v>
      </c>
    </row>
    <row r="253" spans="1:13" x14ac:dyDescent="0.25">
      <c r="A253" t="s">
        <v>483</v>
      </c>
      <c r="B253" t="s">
        <v>483</v>
      </c>
      <c r="C253" t="s">
        <v>493</v>
      </c>
      <c r="D253" s="22">
        <v>0</v>
      </c>
      <c r="E253" s="22">
        <v>1</v>
      </c>
      <c r="F253" s="1"/>
      <c r="G253" s="1"/>
      <c r="H253" s="15"/>
      <c r="I253" s="15"/>
      <c r="J253">
        <f>Table2[[#This Row],[Cost unitar]]*Table2[[#This Row],[Stoc Depozit]]</f>
        <v>0</v>
      </c>
      <c r="K253" t="s">
        <v>492</v>
      </c>
    </row>
    <row r="254" spans="1:13" x14ac:dyDescent="0.25">
      <c r="A254" t="s">
        <v>487</v>
      </c>
      <c r="B254" t="s">
        <v>487</v>
      </c>
      <c r="C254" t="s">
        <v>494</v>
      </c>
      <c r="D254" s="22">
        <v>0</v>
      </c>
      <c r="E254" s="22">
        <v>1</v>
      </c>
      <c r="F254" s="1"/>
      <c r="G254" s="1"/>
      <c r="H254" s="15"/>
      <c r="I254" s="15"/>
      <c r="J254">
        <f>Table2[[#This Row],[Cost unitar]]*Table2[[#This Row],[Stoc Depozit]]</f>
        <v>0</v>
      </c>
      <c r="K254" t="s">
        <v>492</v>
      </c>
    </row>
    <row r="255" spans="1:13" x14ac:dyDescent="0.25">
      <c r="A255" t="s">
        <v>488</v>
      </c>
      <c r="B255" t="s">
        <v>488</v>
      </c>
      <c r="C255" t="s">
        <v>495</v>
      </c>
      <c r="D255" s="22">
        <v>0</v>
      </c>
      <c r="E255" s="22">
        <v>1</v>
      </c>
      <c r="F255" s="1"/>
      <c r="G255" s="1"/>
      <c r="H255" s="15"/>
      <c r="I255" s="15"/>
      <c r="J255">
        <f>Table2[[#This Row],[Cost unitar]]*Table2[[#This Row],[Stoc Depozit]]</f>
        <v>0</v>
      </c>
      <c r="K255" t="s">
        <v>492</v>
      </c>
    </row>
    <row r="256" spans="1:13" x14ac:dyDescent="0.25">
      <c r="A256" t="s">
        <v>498</v>
      </c>
      <c r="B256" t="s">
        <v>498</v>
      </c>
      <c r="C256" t="s">
        <v>496</v>
      </c>
      <c r="D256" s="22">
        <v>0</v>
      </c>
      <c r="E256" s="22">
        <v>1</v>
      </c>
      <c r="F256" s="1"/>
      <c r="G256" s="1"/>
      <c r="H256" s="15"/>
      <c r="I256" s="15"/>
      <c r="J256">
        <f>Table2[[#This Row],[Cost unitar]]*Table2[[#This Row],[Stoc Depozit]]</f>
        <v>0</v>
      </c>
      <c r="K256" t="s">
        <v>492</v>
      </c>
    </row>
    <row r="257" spans="1:11" x14ac:dyDescent="0.25">
      <c r="A257" t="s">
        <v>499</v>
      </c>
      <c r="B257" t="s">
        <v>499</v>
      </c>
      <c r="C257" t="s">
        <v>497</v>
      </c>
      <c r="D257" s="22">
        <v>0</v>
      </c>
      <c r="E257" s="22">
        <v>1</v>
      </c>
      <c r="F257" s="1"/>
      <c r="G257" s="1"/>
      <c r="H257" s="15"/>
      <c r="I257" s="15"/>
      <c r="J257">
        <f>Table2[[#This Row],[Cost unitar]]*Table2[[#This Row],[Stoc Depozit]]</f>
        <v>0</v>
      </c>
      <c r="K257" t="s">
        <v>492</v>
      </c>
    </row>
    <row r="258" spans="1:11" x14ac:dyDescent="0.25">
      <c r="A258" t="s">
        <v>500</v>
      </c>
      <c r="B258" t="s">
        <v>500</v>
      </c>
      <c r="C258" t="s">
        <v>567</v>
      </c>
      <c r="D258" s="22">
        <v>0</v>
      </c>
      <c r="E258" s="22">
        <v>1</v>
      </c>
      <c r="F258" s="1"/>
      <c r="G258" s="1"/>
      <c r="H258" s="15"/>
      <c r="I258" s="15"/>
      <c r="J258">
        <f>Table2[[#This Row],[Cost unitar]]*Table2[[#This Row],[Stoc Depozit]]</f>
        <v>0</v>
      </c>
      <c r="K258" t="s">
        <v>492</v>
      </c>
    </row>
    <row r="259" spans="1:11" x14ac:dyDescent="0.25">
      <c r="A259" t="s">
        <v>501</v>
      </c>
      <c r="B259" t="s">
        <v>501</v>
      </c>
      <c r="C259" t="s">
        <v>568</v>
      </c>
      <c r="D259" s="22">
        <v>0</v>
      </c>
      <c r="E259" s="22">
        <v>1</v>
      </c>
      <c r="F259" s="1"/>
      <c r="G259" s="1"/>
      <c r="H259" s="15"/>
      <c r="I259" s="15"/>
      <c r="J259">
        <f>Table2[[#This Row],[Cost unitar]]*Table2[[#This Row],[Stoc Depozit]]</f>
        <v>0</v>
      </c>
      <c r="K259" t="s">
        <v>492</v>
      </c>
    </row>
    <row r="260" spans="1:11" x14ac:dyDescent="0.25">
      <c r="A260" t="s">
        <v>502</v>
      </c>
      <c r="B260" t="s">
        <v>502</v>
      </c>
      <c r="C260" t="s">
        <v>569</v>
      </c>
      <c r="D260" s="22">
        <v>0</v>
      </c>
      <c r="E260" s="22">
        <v>1</v>
      </c>
      <c r="F260" s="1"/>
      <c r="G260" s="1"/>
      <c r="H260" s="15"/>
      <c r="I260" s="15"/>
      <c r="J260">
        <f>Table2[[#This Row],[Cost unitar]]*Table2[[#This Row],[Stoc Depozit]]</f>
        <v>0</v>
      </c>
      <c r="K260" t="s">
        <v>492</v>
      </c>
    </row>
    <row r="261" spans="1:11" x14ac:dyDescent="0.25">
      <c r="A261" t="s">
        <v>503</v>
      </c>
      <c r="B261" t="s">
        <v>503</v>
      </c>
      <c r="C261" t="s">
        <v>570</v>
      </c>
      <c r="D261" s="22">
        <v>0</v>
      </c>
      <c r="E261" s="22">
        <v>1</v>
      </c>
      <c r="F261" s="1"/>
      <c r="G261" s="1"/>
      <c r="H261" s="15"/>
      <c r="I261" s="15"/>
      <c r="J261">
        <f>Table2[[#This Row],[Cost unitar]]*Table2[[#This Row],[Stoc Depozit]]</f>
        <v>0</v>
      </c>
      <c r="K261" t="s">
        <v>492</v>
      </c>
    </row>
    <row r="262" spans="1:11" x14ac:dyDescent="0.25">
      <c r="A262" t="s">
        <v>504</v>
      </c>
      <c r="B262" t="s">
        <v>504</v>
      </c>
      <c r="C262" t="s">
        <v>571</v>
      </c>
      <c r="D262" s="22">
        <v>0</v>
      </c>
      <c r="E262" s="22">
        <v>1</v>
      </c>
      <c r="F262" s="1"/>
      <c r="G262" s="1"/>
      <c r="H262" s="15"/>
      <c r="I262" s="15"/>
      <c r="J262">
        <f>Table2[[#This Row],[Cost unitar]]*Table2[[#This Row],[Stoc Depozit]]</f>
        <v>0</v>
      </c>
      <c r="K262" t="s">
        <v>492</v>
      </c>
    </row>
    <row r="263" spans="1:11" x14ac:dyDescent="0.25">
      <c r="A263" t="s">
        <v>505</v>
      </c>
      <c r="B263" t="s">
        <v>505</v>
      </c>
      <c r="C263" t="s">
        <v>572</v>
      </c>
      <c r="D263" s="22">
        <v>0</v>
      </c>
      <c r="E263" s="22">
        <v>1</v>
      </c>
      <c r="F263" s="1"/>
      <c r="G263" s="1"/>
      <c r="H263" s="15"/>
      <c r="I263" s="15"/>
      <c r="J263">
        <f>Table2[[#This Row],[Cost unitar]]*Table2[[#This Row],[Stoc Depozit]]</f>
        <v>0</v>
      </c>
      <c r="K263" t="s">
        <v>492</v>
      </c>
    </row>
    <row r="264" spans="1:11" x14ac:dyDescent="0.25">
      <c r="A264" t="s">
        <v>506</v>
      </c>
      <c r="B264" t="s">
        <v>506</v>
      </c>
      <c r="C264" t="s">
        <v>573</v>
      </c>
      <c r="D264" s="22">
        <v>0</v>
      </c>
      <c r="E264" s="22">
        <v>1</v>
      </c>
      <c r="F264" s="1"/>
      <c r="G264" s="1"/>
      <c r="H264" s="15"/>
      <c r="I264" s="15"/>
      <c r="J264">
        <f>Table2[[#This Row],[Cost unitar]]*Table2[[#This Row],[Stoc Depozit]]</f>
        <v>0</v>
      </c>
      <c r="K264" t="s">
        <v>492</v>
      </c>
    </row>
    <row r="265" spans="1:11" x14ac:dyDescent="0.25">
      <c r="A265" t="s">
        <v>507</v>
      </c>
      <c r="B265" t="s">
        <v>507</v>
      </c>
      <c r="C265" t="s">
        <v>574</v>
      </c>
      <c r="D265" s="22">
        <v>0</v>
      </c>
      <c r="E265" s="22">
        <v>1</v>
      </c>
      <c r="F265" s="1"/>
      <c r="G265" s="1"/>
      <c r="H265" s="15"/>
      <c r="I265" s="15"/>
      <c r="J265">
        <f>Table2[[#This Row],[Cost unitar]]*Table2[[#This Row],[Stoc Depozit]]</f>
        <v>0</v>
      </c>
      <c r="K265" t="s">
        <v>492</v>
      </c>
    </row>
    <row r="266" spans="1:11" x14ac:dyDescent="0.25">
      <c r="A266" t="s">
        <v>508</v>
      </c>
      <c r="B266" t="s">
        <v>508</v>
      </c>
      <c r="C266" t="s">
        <v>575</v>
      </c>
      <c r="D266" s="22">
        <v>0</v>
      </c>
      <c r="E266" s="22">
        <v>1</v>
      </c>
      <c r="F266" s="1"/>
      <c r="G266" s="1"/>
      <c r="H266" s="15"/>
      <c r="I266" s="15"/>
      <c r="J266">
        <f>Table2[[#This Row],[Cost unitar]]*Table2[[#This Row],[Stoc Depozit]]</f>
        <v>0</v>
      </c>
      <c r="K266" t="s">
        <v>492</v>
      </c>
    </row>
    <row r="267" spans="1:11" x14ac:dyDescent="0.25">
      <c r="A267" t="s">
        <v>509</v>
      </c>
      <c r="B267" t="s">
        <v>509</v>
      </c>
      <c r="C267" t="s">
        <v>576</v>
      </c>
      <c r="D267" s="22">
        <v>0</v>
      </c>
      <c r="E267" s="22">
        <v>1</v>
      </c>
      <c r="F267" s="1"/>
      <c r="G267" s="1"/>
      <c r="H267" s="15"/>
      <c r="I267" s="15"/>
      <c r="J267">
        <f>Table2[[#This Row],[Cost unitar]]*Table2[[#This Row],[Stoc Depozit]]</f>
        <v>0</v>
      </c>
      <c r="K267" t="s">
        <v>492</v>
      </c>
    </row>
    <row r="268" spans="1:11" x14ac:dyDescent="0.25">
      <c r="A268" t="s">
        <v>510</v>
      </c>
      <c r="B268" t="s">
        <v>510</v>
      </c>
      <c r="C268" t="s">
        <v>577</v>
      </c>
      <c r="D268" s="22">
        <v>0</v>
      </c>
      <c r="E268" s="22">
        <v>1</v>
      </c>
      <c r="F268" s="1"/>
      <c r="G268" s="1"/>
      <c r="H268" s="15"/>
      <c r="I268" s="15"/>
      <c r="J268">
        <f>Table2[[#This Row],[Cost unitar]]*Table2[[#This Row],[Stoc Depozit]]</f>
        <v>0</v>
      </c>
      <c r="K268" t="s">
        <v>492</v>
      </c>
    </row>
    <row r="269" spans="1:11" x14ac:dyDescent="0.25">
      <c r="A269" t="s">
        <v>511</v>
      </c>
      <c r="B269" t="s">
        <v>511</v>
      </c>
      <c r="C269" t="s">
        <v>577</v>
      </c>
      <c r="D269" s="22">
        <v>0</v>
      </c>
      <c r="E269" s="22">
        <v>1</v>
      </c>
      <c r="F269" s="1"/>
      <c r="G269" s="1"/>
      <c r="H269" s="15"/>
      <c r="I269" s="15"/>
      <c r="J269">
        <f>Table2[[#This Row],[Cost unitar]]*Table2[[#This Row],[Stoc Depozit]]</f>
        <v>0</v>
      </c>
      <c r="K269" t="s">
        <v>492</v>
      </c>
    </row>
    <row r="270" spans="1:11" x14ac:dyDescent="0.25">
      <c r="A270" t="s">
        <v>512</v>
      </c>
      <c r="B270" t="s">
        <v>512</v>
      </c>
      <c r="C270" t="s">
        <v>578</v>
      </c>
      <c r="D270" s="22">
        <v>0</v>
      </c>
      <c r="E270" s="22">
        <v>1</v>
      </c>
      <c r="F270" s="1"/>
      <c r="G270" s="1"/>
      <c r="H270" s="15"/>
      <c r="I270" s="15"/>
      <c r="J270">
        <f>Table2[[#This Row],[Cost unitar]]*Table2[[#This Row],[Stoc Depozit]]</f>
        <v>0</v>
      </c>
      <c r="K270" t="s">
        <v>492</v>
      </c>
    </row>
    <row r="271" spans="1:11" x14ac:dyDescent="0.25">
      <c r="A271" t="s">
        <v>513</v>
      </c>
      <c r="B271" t="s">
        <v>513</v>
      </c>
      <c r="C271" s="48" t="s">
        <v>579</v>
      </c>
      <c r="D271" s="22">
        <v>0</v>
      </c>
      <c r="E271" s="22">
        <v>1</v>
      </c>
      <c r="F271" s="1"/>
      <c r="G271" s="1"/>
      <c r="H271" s="15"/>
      <c r="I271" s="15"/>
      <c r="J271">
        <f>Table2[[#This Row],[Cost unitar]]*Table2[[#This Row],[Stoc Depozit]]</f>
        <v>0</v>
      </c>
      <c r="K271" t="s">
        <v>581</v>
      </c>
    </row>
    <row r="272" spans="1:11" x14ac:dyDescent="0.25">
      <c r="A272" t="s">
        <v>514</v>
      </c>
      <c r="B272" t="s">
        <v>514</v>
      </c>
      <c r="C272" t="s">
        <v>580</v>
      </c>
      <c r="D272" s="22">
        <v>0</v>
      </c>
      <c r="E272" s="22">
        <v>1</v>
      </c>
      <c r="F272" s="1"/>
      <c r="G272" s="1"/>
      <c r="H272" s="15"/>
      <c r="I272" s="15"/>
      <c r="J272">
        <f>Table2[[#This Row],[Cost unitar]]*Table2[[#This Row],[Stoc Depozit]]</f>
        <v>0</v>
      </c>
      <c r="K272" t="s">
        <v>581</v>
      </c>
    </row>
    <row r="273" spans="1:11" x14ac:dyDescent="0.25">
      <c r="A273" t="s">
        <v>515</v>
      </c>
      <c r="B273" t="s">
        <v>515</v>
      </c>
      <c r="C273" t="s">
        <v>582</v>
      </c>
      <c r="D273" s="22">
        <v>0</v>
      </c>
      <c r="E273" s="22">
        <v>1</v>
      </c>
      <c r="F273" s="1"/>
      <c r="G273" s="1"/>
      <c r="H273" s="15"/>
      <c r="I273" s="15"/>
      <c r="J273">
        <f>Table2[[#This Row],[Cost unitar]]*Table2[[#This Row],[Stoc Depozit]]</f>
        <v>0</v>
      </c>
      <c r="K273" t="s">
        <v>492</v>
      </c>
    </row>
    <row r="274" spans="1:11" x14ac:dyDescent="0.25">
      <c r="A274" t="s">
        <v>516</v>
      </c>
      <c r="B274" t="s">
        <v>516</v>
      </c>
      <c r="C274" t="s">
        <v>583</v>
      </c>
      <c r="D274" s="22">
        <v>0</v>
      </c>
      <c r="E274" s="22">
        <v>1</v>
      </c>
      <c r="F274" s="1"/>
      <c r="G274" s="1"/>
      <c r="H274" s="15"/>
      <c r="I274" s="15"/>
      <c r="J274">
        <f>Table2[[#This Row],[Cost unitar]]*Table2[[#This Row],[Stoc Depozit]]</f>
        <v>0</v>
      </c>
      <c r="K274" t="s">
        <v>492</v>
      </c>
    </row>
    <row r="275" spans="1:11" x14ac:dyDescent="0.25">
      <c r="A275" t="s">
        <v>517</v>
      </c>
      <c r="B275" t="s">
        <v>517</v>
      </c>
      <c r="C275" t="s">
        <v>320</v>
      </c>
      <c r="D275" s="22">
        <v>0</v>
      </c>
      <c r="E275" s="22">
        <v>1</v>
      </c>
      <c r="F275" s="1"/>
      <c r="G275" s="1"/>
      <c r="H275" s="15"/>
      <c r="I275" s="15"/>
      <c r="J275">
        <f>Table2[[#This Row],[Cost unitar]]*Table2[[#This Row],[Stoc Depozit]]</f>
        <v>0</v>
      </c>
      <c r="K275" t="s">
        <v>492</v>
      </c>
    </row>
    <row r="276" spans="1:11" x14ac:dyDescent="0.25">
      <c r="A276" t="s">
        <v>518</v>
      </c>
      <c r="B276" t="s">
        <v>518</v>
      </c>
      <c r="C276" t="s">
        <v>584</v>
      </c>
      <c r="D276" s="22">
        <v>0</v>
      </c>
      <c r="E276" s="22">
        <v>1</v>
      </c>
      <c r="F276" s="1"/>
      <c r="G276" s="1"/>
      <c r="H276" s="15"/>
      <c r="I276" s="15"/>
      <c r="J276">
        <f>Table2[[#This Row],[Cost unitar]]*Table2[[#This Row],[Stoc Depozit]]</f>
        <v>0</v>
      </c>
      <c r="K276" t="s">
        <v>492</v>
      </c>
    </row>
    <row r="277" spans="1:11" x14ac:dyDescent="0.25">
      <c r="A277" t="s">
        <v>519</v>
      </c>
      <c r="B277" t="s">
        <v>519</v>
      </c>
      <c r="C277" t="s">
        <v>585</v>
      </c>
      <c r="D277" s="22">
        <v>0</v>
      </c>
      <c r="E277" s="22">
        <v>1</v>
      </c>
      <c r="F277" s="1"/>
      <c r="G277" s="1"/>
      <c r="H277" s="15"/>
      <c r="I277" s="15"/>
      <c r="J277">
        <f>Table2[[#This Row],[Cost unitar]]*Table2[[#This Row],[Stoc Depozit]]</f>
        <v>0</v>
      </c>
      <c r="K277" t="s">
        <v>492</v>
      </c>
    </row>
    <row r="278" spans="1:11" x14ac:dyDescent="0.25">
      <c r="A278" t="s">
        <v>520</v>
      </c>
      <c r="B278" t="s">
        <v>520</v>
      </c>
      <c r="C278" t="s">
        <v>586</v>
      </c>
      <c r="D278" s="22">
        <v>0</v>
      </c>
      <c r="E278" s="22">
        <v>1</v>
      </c>
      <c r="F278" s="1"/>
      <c r="G278" s="1"/>
      <c r="H278" s="15"/>
      <c r="I278" s="15"/>
      <c r="J278">
        <f>Table2[[#This Row],[Cost unitar]]*Table2[[#This Row],[Stoc Depozit]]</f>
        <v>0</v>
      </c>
      <c r="K278" t="s">
        <v>492</v>
      </c>
    </row>
    <row r="279" spans="1:11" x14ac:dyDescent="0.25">
      <c r="A279" t="s">
        <v>521</v>
      </c>
      <c r="B279" t="s">
        <v>521</v>
      </c>
      <c r="C279" t="s">
        <v>587</v>
      </c>
      <c r="D279" s="22">
        <v>0</v>
      </c>
      <c r="E279" s="22">
        <v>1</v>
      </c>
      <c r="F279" s="1"/>
      <c r="G279" s="1"/>
      <c r="H279" s="15"/>
      <c r="I279" s="15"/>
      <c r="J279">
        <f>Table2[[#This Row],[Cost unitar]]*Table2[[#This Row],[Stoc Depozit]]</f>
        <v>0</v>
      </c>
      <c r="K279" t="s">
        <v>492</v>
      </c>
    </row>
    <row r="280" spans="1:11" x14ac:dyDescent="0.25">
      <c r="A280" t="s">
        <v>522</v>
      </c>
      <c r="B280" t="s">
        <v>522</v>
      </c>
      <c r="C280" t="s">
        <v>588</v>
      </c>
      <c r="D280" s="22">
        <v>0</v>
      </c>
      <c r="E280" s="22">
        <v>1</v>
      </c>
      <c r="F280" s="1"/>
      <c r="G280" s="1"/>
      <c r="H280" s="15"/>
      <c r="I280" s="15"/>
      <c r="J280">
        <f>Table2[[#This Row],[Cost unitar]]*Table2[[#This Row],[Stoc Depozit]]</f>
        <v>0</v>
      </c>
      <c r="K280" t="s">
        <v>589</v>
      </c>
    </row>
    <row r="281" spans="1:11" x14ac:dyDescent="0.25">
      <c r="A281" t="s">
        <v>523</v>
      </c>
      <c r="B281" t="s">
        <v>523</v>
      </c>
      <c r="C281" t="s">
        <v>590</v>
      </c>
      <c r="D281" s="22">
        <v>0</v>
      </c>
      <c r="E281" s="22">
        <v>1</v>
      </c>
      <c r="F281" s="1"/>
      <c r="G281" s="1"/>
      <c r="H281" s="15"/>
      <c r="I281" s="15"/>
      <c r="J281">
        <f>Table2[[#This Row],[Cost unitar]]*Table2[[#This Row],[Stoc Depozit]]</f>
        <v>0</v>
      </c>
      <c r="K281" t="s">
        <v>589</v>
      </c>
    </row>
    <row r="282" spans="1:11" x14ac:dyDescent="0.25">
      <c r="A282" t="s">
        <v>524</v>
      </c>
      <c r="B282" t="s">
        <v>524</v>
      </c>
      <c r="C282" t="s">
        <v>591</v>
      </c>
      <c r="D282" s="22">
        <v>0</v>
      </c>
      <c r="E282" s="22">
        <v>1</v>
      </c>
      <c r="F282" s="1"/>
      <c r="G282" s="1"/>
      <c r="H282" s="15"/>
      <c r="I282" s="15"/>
      <c r="J282">
        <f>Table2[[#This Row],[Cost unitar]]*Table2[[#This Row],[Stoc Depozit]]</f>
        <v>0</v>
      </c>
      <c r="K282" t="s">
        <v>492</v>
      </c>
    </row>
    <row r="283" spans="1:11" x14ac:dyDescent="0.25">
      <c r="A283" t="s">
        <v>525</v>
      </c>
      <c r="B283" t="s">
        <v>525</v>
      </c>
      <c r="C283" t="s">
        <v>592</v>
      </c>
      <c r="D283" s="22">
        <v>0</v>
      </c>
      <c r="E283" s="22">
        <v>1</v>
      </c>
      <c r="F283" s="1"/>
      <c r="G283" s="1"/>
      <c r="H283" s="15"/>
      <c r="I283" s="15"/>
      <c r="J283">
        <f>Table2[[#This Row],[Cost unitar]]*Table2[[#This Row],[Stoc Depozit]]</f>
        <v>0</v>
      </c>
      <c r="K283" t="s">
        <v>492</v>
      </c>
    </row>
    <row r="284" spans="1:11" x14ac:dyDescent="0.25">
      <c r="A284" t="s">
        <v>526</v>
      </c>
      <c r="B284" t="s">
        <v>526</v>
      </c>
      <c r="C284" t="s">
        <v>593</v>
      </c>
      <c r="D284" s="22">
        <v>0</v>
      </c>
      <c r="E284" s="22">
        <v>1</v>
      </c>
      <c r="F284" s="1"/>
      <c r="G284" s="1"/>
      <c r="H284" s="15"/>
      <c r="I284" s="15"/>
      <c r="J284">
        <f>Table2[[#This Row],[Cost unitar]]*Table2[[#This Row],[Stoc Depozit]]</f>
        <v>0</v>
      </c>
      <c r="K284" t="s">
        <v>492</v>
      </c>
    </row>
    <row r="285" spans="1:11" x14ac:dyDescent="0.25">
      <c r="A285" t="s">
        <v>527</v>
      </c>
      <c r="B285" t="s">
        <v>527</v>
      </c>
      <c r="C285" t="s">
        <v>594</v>
      </c>
      <c r="D285" s="22">
        <v>0</v>
      </c>
      <c r="E285" s="22">
        <v>1</v>
      </c>
      <c r="F285" s="1"/>
      <c r="G285" s="1"/>
      <c r="H285" s="15"/>
      <c r="I285" s="15"/>
      <c r="J285">
        <f>Table2[[#This Row],[Cost unitar]]*Table2[[#This Row],[Stoc Depozit]]</f>
        <v>0</v>
      </c>
      <c r="K285" t="s">
        <v>492</v>
      </c>
    </row>
    <row r="286" spans="1:11" x14ac:dyDescent="0.25">
      <c r="A286" t="s">
        <v>528</v>
      </c>
      <c r="B286" t="s">
        <v>528</v>
      </c>
      <c r="C286" t="s">
        <v>595</v>
      </c>
      <c r="D286" s="22">
        <v>0</v>
      </c>
      <c r="E286" s="22">
        <v>1</v>
      </c>
      <c r="F286" s="1"/>
      <c r="G286" s="1"/>
      <c r="H286" s="15"/>
      <c r="I286" s="15"/>
      <c r="J286">
        <f>Table2[[#This Row],[Cost unitar]]*Table2[[#This Row],[Stoc Depozit]]</f>
        <v>0</v>
      </c>
      <c r="K286" t="s">
        <v>492</v>
      </c>
    </row>
    <row r="287" spans="1:11" x14ac:dyDescent="0.25">
      <c r="A287" t="s">
        <v>529</v>
      </c>
      <c r="B287" t="s">
        <v>529</v>
      </c>
      <c r="C287" t="s">
        <v>595</v>
      </c>
      <c r="D287" s="22">
        <v>0</v>
      </c>
      <c r="E287" s="22">
        <v>1</v>
      </c>
      <c r="F287" s="1"/>
      <c r="G287" s="1"/>
      <c r="H287" s="15"/>
      <c r="I287" s="15"/>
      <c r="J287">
        <f>Table2[[#This Row],[Cost unitar]]*Table2[[#This Row],[Stoc Depozit]]</f>
        <v>0</v>
      </c>
      <c r="K287" t="s">
        <v>492</v>
      </c>
    </row>
    <row r="288" spans="1:11" x14ac:dyDescent="0.25">
      <c r="A288" t="s">
        <v>530</v>
      </c>
      <c r="B288" t="s">
        <v>530</v>
      </c>
      <c r="C288" t="s">
        <v>596</v>
      </c>
      <c r="D288" s="22">
        <v>0</v>
      </c>
      <c r="E288" s="22">
        <v>1</v>
      </c>
      <c r="F288" s="1"/>
      <c r="G288" s="1"/>
      <c r="H288" s="15"/>
      <c r="I288" s="15"/>
      <c r="J288">
        <f>Table2[[#This Row],[Cost unitar]]*Table2[[#This Row],[Stoc Depozit]]</f>
        <v>0</v>
      </c>
      <c r="K288" t="s">
        <v>492</v>
      </c>
    </row>
    <row r="289" spans="1:11" x14ac:dyDescent="0.25">
      <c r="A289" t="s">
        <v>531</v>
      </c>
      <c r="B289" t="s">
        <v>531</v>
      </c>
      <c r="C289" t="s">
        <v>597</v>
      </c>
      <c r="D289" s="22">
        <v>0</v>
      </c>
      <c r="E289" s="22">
        <v>1</v>
      </c>
      <c r="F289" s="1"/>
      <c r="G289" s="1"/>
      <c r="H289" s="15"/>
      <c r="I289" s="15"/>
      <c r="J289">
        <f>Table2[[#This Row],[Cost unitar]]*Table2[[#This Row],[Stoc Depozit]]</f>
        <v>0</v>
      </c>
      <c r="K289" t="s">
        <v>1277</v>
      </c>
    </row>
    <row r="290" spans="1:11" x14ac:dyDescent="0.25">
      <c r="A290" t="s">
        <v>532</v>
      </c>
      <c r="B290" t="s">
        <v>532</v>
      </c>
      <c r="C290" t="s">
        <v>598</v>
      </c>
      <c r="D290" s="22">
        <v>0</v>
      </c>
      <c r="E290" s="22">
        <v>1</v>
      </c>
      <c r="F290" s="1"/>
      <c r="G290" s="1"/>
      <c r="H290" s="15"/>
      <c r="I290" s="15"/>
      <c r="J290">
        <f>Table2[[#This Row],[Cost unitar]]*Table2[[#This Row],[Stoc Depozit]]</f>
        <v>0</v>
      </c>
      <c r="K290" t="s">
        <v>492</v>
      </c>
    </row>
    <row r="291" spans="1:11" x14ac:dyDescent="0.25">
      <c r="A291" t="s">
        <v>533</v>
      </c>
      <c r="B291" t="s">
        <v>533</v>
      </c>
      <c r="C291" t="s">
        <v>597</v>
      </c>
      <c r="D291" s="22">
        <v>0</v>
      </c>
      <c r="E291" s="22">
        <v>1</v>
      </c>
      <c r="F291" s="1"/>
      <c r="G291" s="1"/>
      <c r="H291" s="15"/>
      <c r="I291" s="15"/>
      <c r="J291">
        <f>Table2[[#This Row],[Cost unitar]]*Table2[[#This Row],[Stoc Depozit]]</f>
        <v>0</v>
      </c>
      <c r="K291" t="s">
        <v>492</v>
      </c>
    </row>
    <row r="292" spans="1:11" x14ac:dyDescent="0.25">
      <c r="A292" t="s">
        <v>534</v>
      </c>
      <c r="B292" t="s">
        <v>534</v>
      </c>
      <c r="C292" t="s">
        <v>599</v>
      </c>
      <c r="D292" s="22">
        <v>0</v>
      </c>
      <c r="E292" s="22">
        <v>1</v>
      </c>
      <c r="F292" s="1"/>
      <c r="G292" s="1"/>
      <c r="H292" s="15"/>
      <c r="I292" s="15"/>
      <c r="J292">
        <f>Table2[[#This Row],[Cost unitar]]*Table2[[#This Row],[Stoc Depozit]]</f>
        <v>0</v>
      </c>
      <c r="K292" t="s">
        <v>492</v>
      </c>
    </row>
    <row r="293" spans="1:11" x14ac:dyDescent="0.25">
      <c r="A293" t="s">
        <v>535</v>
      </c>
      <c r="B293" t="s">
        <v>535</v>
      </c>
      <c r="C293" t="s">
        <v>600</v>
      </c>
      <c r="D293" s="22">
        <v>0</v>
      </c>
      <c r="E293" s="22">
        <v>1</v>
      </c>
      <c r="F293" s="1"/>
      <c r="G293" s="1"/>
      <c r="H293" s="15"/>
      <c r="I293" s="15"/>
      <c r="J293">
        <f>Table2[[#This Row],[Cost unitar]]*Table2[[#This Row],[Stoc Depozit]]</f>
        <v>0</v>
      </c>
      <c r="K293" t="s">
        <v>492</v>
      </c>
    </row>
    <row r="294" spans="1:11" x14ac:dyDescent="0.25">
      <c r="A294" t="s">
        <v>536</v>
      </c>
      <c r="B294" t="s">
        <v>536</v>
      </c>
      <c r="C294" t="s">
        <v>597</v>
      </c>
      <c r="D294" s="22">
        <v>0</v>
      </c>
      <c r="E294" s="22">
        <v>1</v>
      </c>
      <c r="F294" s="1"/>
      <c r="G294" s="1"/>
      <c r="H294" s="15"/>
      <c r="I294" s="15"/>
      <c r="J294">
        <f>Table2[[#This Row],[Cost unitar]]*Table2[[#This Row],[Stoc Depozit]]</f>
        <v>0</v>
      </c>
      <c r="K294" t="s">
        <v>492</v>
      </c>
    </row>
    <row r="295" spans="1:11" x14ac:dyDescent="0.25">
      <c r="A295" t="s">
        <v>537</v>
      </c>
      <c r="B295" t="s">
        <v>537</v>
      </c>
      <c r="C295" t="s">
        <v>601</v>
      </c>
      <c r="D295" s="22">
        <v>0</v>
      </c>
      <c r="E295" s="22">
        <v>1</v>
      </c>
      <c r="F295" s="1"/>
      <c r="G295" s="1"/>
      <c r="H295" s="15"/>
      <c r="I295" s="15"/>
      <c r="J295">
        <f>Table2[[#This Row],[Cost unitar]]*Table2[[#This Row],[Stoc Depozit]]</f>
        <v>0</v>
      </c>
      <c r="K295" t="s">
        <v>492</v>
      </c>
    </row>
    <row r="296" spans="1:11" x14ac:dyDescent="0.25">
      <c r="A296" t="s">
        <v>538</v>
      </c>
      <c r="B296" t="s">
        <v>538</v>
      </c>
      <c r="C296" t="s">
        <v>602</v>
      </c>
      <c r="D296" s="22">
        <v>0</v>
      </c>
      <c r="E296" s="22">
        <v>1</v>
      </c>
      <c r="F296" s="1"/>
      <c r="G296" s="1"/>
      <c r="H296" s="15"/>
      <c r="I296" s="15"/>
      <c r="J296">
        <f>Table2[[#This Row],[Cost unitar]]*Table2[[#This Row],[Stoc Depozit]]</f>
        <v>0</v>
      </c>
      <c r="K296" t="s">
        <v>910</v>
      </c>
    </row>
    <row r="297" spans="1:11" x14ac:dyDescent="0.25">
      <c r="A297" t="s">
        <v>539</v>
      </c>
      <c r="B297" t="s">
        <v>539</v>
      </c>
      <c r="C297" t="s">
        <v>603</v>
      </c>
      <c r="D297" s="22">
        <v>0</v>
      </c>
      <c r="E297" s="22">
        <v>1</v>
      </c>
      <c r="F297" s="1"/>
      <c r="G297" s="1"/>
      <c r="H297" s="15"/>
      <c r="I297" s="15"/>
      <c r="J297">
        <f>Table2[[#This Row],[Cost unitar]]*Table2[[#This Row],[Stoc Depozit]]</f>
        <v>0</v>
      </c>
      <c r="K297" t="s">
        <v>492</v>
      </c>
    </row>
    <row r="298" spans="1:11" x14ac:dyDescent="0.25">
      <c r="A298" t="s">
        <v>540</v>
      </c>
      <c r="B298" t="s">
        <v>540</v>
      </c>
      <c r="C298" t="s">
        <v>604</v>
      </c>
      <c r="D298" s="22">
        <v>0</v>
      </c>
      <c r="E298" s="22">
        <v>1</v>
      </c>
      <c r="F298" s="1"/>
      <c r="G298" s="1"/>
      <c r="H298" s="15"/>
      <c r="I298" s="15"/>
      <c r="J298">
        <f>Table2[[#This Row],[Cost unitar]]*Table2[[#This Row],[Stoc Depozit]]</f>
        <v>0</v>
      </c>
      <c r="K298" t="s">
        <v>492</v>
      </c>
    </row>
    <row r="299" spans="1:11" x14ac:dyDescent="0.25">
      <c r="A299" t="s">
        <v>541</v>
      </c>
      <c r="B299" t="s">
        <v>541</v>
      </c>
      <c r="C299" t="s">
        <v>605</v>
      </c>
      <c r="D299" s="22">
        <v>0</v>
      </c>
      <c r="E299" s="22">
        <v>1</v>
      </c>
      <c r="F299" s="1"/>
      <c r="G299" s="1"/>
      <c r="H299" s="15"/>
      <c r="I299" s="15"/>
      <c r="J299">
        <f>Table2[[#This Row],[Cost unitar]]*Table2[[#This Row],[Stoc Depozit]]</f>
        <v>0</v>
      </c>
      <c r="K299" t="s">
        <v>492</v>
      </c>
    </row>
    <row r="300" spans="1:11" x14ac:dyDescent="0.25">
      <c r="A300" t="s">
        <v>542</v>
      </c>
      <c r="B300" t="s">
        <v>542</v>
      </c>
      <c r="C300" t="s">
        <v>606</v>
      </c>
      <c r="D300" s="22">
        <v>0</v>
      </c>
      <c r="E300" s="22">
        <v>1</v>
      </c>
      <c r="F300" s="1"/>
      <c r="G300" s="1"/>
      <c r="H300" s="15"/>
      <c r="I300" s="15"/>
      <c r="J300">
        <f>Table2[[#This Row],[Cost unitar]]*Table2[[#This Row],[Stoc Depozit]]</f>
        <v>0</v>
      </c>
      <c r="K300" t="s">
        <v>492</v>
      </c>
    </row>
    <row r="301" spans="1:11" x14ac:dyDescent="0.25">
      <c r="A301" t="s">
        <v>543</v>
      </c>
      <c r="B301" t="s">
        <v>543</v>
      </c>
      <c r="C301" t="s">
        <v>607</v>
      </c>
      <c r="D301" s="22">
        <v>0</v>
      </c>
      <c r="E301" s="22">
        <v>1</v>
      </c>
      <c r="F301" s="1"/>
      <c r="G301" s="1"/>
      <c r="H301" s="15"/>
      <c r="I301" s="15"/>
      <c r="J301">
        <f>Table2[[#This Row],[Cost unitar]]*Table2[[#This Row],[Stoc Depozit]]</f>
        <v>0</v>
      </c>
      <c r="K301" t="s">
        <v>492</v>
      </c>
    </row>
    <row r="302" spans="1:11" x14ac:dyDescent="0.25">
      <c r="A302" t="s">
        <v>544</v>
      </c>
      <c r="B302" t="s">
        <v>544</v>
      </c>
      <c r="C302" t="s">
        <v>608</v>
      </c>
      <c r="D302" s="22">
        <v>0</v>
      </c>
      <c r="E302" s="22">
        <v>1</v>
      </c>
      <c r="F302" s="1"/>
      <c r="G302" s="1"/>
      <c r="H302" s="15"/>
      <c r="I302" s="15"/>
      <c r="J302">
        <f>Table2[[#This Row],[Cost unitar]]*Table2[[#This Row],[Stoc Depozit]]</f>
        <v>0</v>
      </c>
      <c r="K302" t="s">
        <v>910</v>
      </c>
    </row>
    <row r="303" spans="1:11" x14ac:dyDescent="0.25">
      <c r="A303" t="s">
        <v>545</v>
      </c>
      <c r="B303" t="s">
        <v>545</v>
      </c>
      <c r="C303" t="s">
        <v>609</v>
      </c>
      <c r="D303" s="22">
        <v>0</v>
      </c>
      <c r="E303" s="22">
        <v>1</v>
      </c>
      <c r="F303" s="1"/>
      <c r="G303" s="1"/>
      <c r="H303" s="15"/>
      <c r="I303" s="15"/>
      <c r="J303">
        <f>Table2[[#This Row],[Cost unitar]]*Table2[[#This Row],[Stoc Depozit]]</f>
        <v>0</v>
      </c>
      <c r="K303" t="s">
        <v>449</v>
      </c>
    </row>
    <row r="304" spans="1:11" x14ac:dyDescent="0.25">
      <c r="A304" t="s">
        <v>546</v>
      </c>
      <c r="B304" t="s">
        <v>546</v>
      </c>
      <c r="C304" t="s">
        <v>612</v>
      </c>
      <c r="D304" s="22">
        <v>1</v>
      </c>
      <c r="E304" s="22">
        <v>1</v>
      </c>
      <c r="F304" s="1"/>
      <c r="G304" s="1"/>
      <c r="H304" s="15"/>
      <c r="I304" s="15"/>
      <c r="J304">
        <f>Table2[[#This Row],[Cost unitar]]*Table2[[#This Row],[Stoc Depozit]]</f>
        <v>0</v>
      </c>
      <c r="K304" t="s">
        <v>610</v>
      </c>
    </row>
    <row r="305" spans="1:12" x14ac:dyDescent="0.25">
      <c r="A305" t="s">
        <v>547</v>
      </c>
      <c r="B305" t="s">
        <v>547</v>
      </c>
      <c r="C305" t="s">
        <v>613</v>
      </c>
      <c r="D305" s="22">
        <v>1</v>
      </c>
      <c r="E305" s="22">
        <v>1</v>
      </c>
      <c r="F305" s="1"/>
      <c r="G305" s="1"/>
      <c r="H305" s="15"/>
      <c r="I305" s="15"/>
      <c r="J305">
        <f>Table2[[#This Row],[Cost unitar]]*Table2[[#This Row],[Stoc Depozit]]</f>
        <v>0</v>
      </c>
      <c r="K305" t="s">
        <v>610</v>
      </c>
    </row>
    <row r="306" spans="1:12" x14ac:dyDescent="0.25">
      <c r="A306" t="s">
        <v>548</v>
      </c>
      <c r="B306" t="s">
        <v>548</v>
      </c>
      <c r="C306" t="s">
        <v>614</v>
      </c>
      <c r="D306" s="22">
        <v>1</v>
      </c>
      <c r="E306" s="22">
        <v>1</v>
      </c>
      <c r="F306" s="1"/>
      <c r="G306" s="1"/>
      <c r="H306" s="15"/>
      <c r="I306" s="15"/>
      <c r="J306">
        <f>Table2[[#This Row],[Cost unitar]]*Table2[[#This Row],[Stoc Depozit]]</f>
        <v>0</v>
      </c>
      <c r="K306" t="s">
        <v>610</v>
      </c>
    </row>
    <row r="307" spans="1:12" x14ac:dyDescent="0.25">
      <c r="A307" t="s">
        <v>549</v>
      </c>
      <c r="B307" t="s">
        <v>549</v>
      </c>
      <c r="C307" t="s">
        <v>615</v>
      </c>
      <c r="D307" s="22">
        <v>1</v>
      </c>
      <c r="E307" s="22">
        <v>1</v>
      </c>
      <c r="F307" s="1"/>
      <c r="G307" s="1"/>
      <c r="H307" s="15"/>
      <c r="I307" s="15"/>
      <c r="J307">
        <f>Table2[[#This Row],[Cost unitar]]*Table2[[#This Row],[Stoc Depozit]]</f>
        <v>0</v>
      </c>
      <c r="K307" t="s">
        <v>610</v>
      </c>
    </row>
    <row r="308" spans="1:12" x14ac:dyDescent="0.25">
      <c r="A308" t="s">
        <v>550</v>
      </c>
      <c r="B308" t="s">
        <v>550</v>
      </c>
      <c r="C308" t="s">
        <v>616</v>
      </c>
      <c r="D308" s="22">
        <v>1</v>
      </c>
      <c r="E308" s="22">
        <v>1</v>
      </c>
      <c r="F308" s="1"/>
      <c r="G308" s="1"/>
      <c r="H308" s="15"/>
      <c r="I308" s="15"/>
      <c r="J308">
        <f>Table2[[#This Row],[Cost unitar]]*Table2[[#This Row],[Stoc Depozit]]</f>
        <v>0</v>
      </c>
      <c r="K308" t="s">
        <v>610</v>
      </c>
    </row>
    <row r="309" spans="1:12" x14ac:dyDescent="0.25">
      <c r="A309" t="s">
        <v>551</v>
      </c>
      <c r="B309" t="s">
        <v>551</v>
      </c>
      <c r="C309" t="s">
        <v>617</v>
      </c>
      <c r="D309" s="22">
        <v>1</v>
      </c>
      <c r="E309" s="22">
        <v>1</v>
      </c>
      <c r="F309" s="1"/>
      <c r="G309" s="1"/>
      <c r="H309" s="15"/>
      <c r="I309" s="15"/>
      <c r="J309">
        <f>Table2[[#This Row],[Cost unitar]]*Table2[[#This Row],[Stoc Depozit]]</f>
        <v>0</v>
      </c>
      <c r="K309" t="s">
        <v>610</v>
      </c>
    </row>
    <row r="310" spans="1:12" x14ac:dyDescent="0.25">
      <c r="A310" t="s">
        <v>552</v>
      </c>
      <c r="B310" t="s">
        <v>552</v>
      </c>
      <c r="C310" t="s">
        <v>618</v>
      </c>
      <c r="D310" s="22">
        <v>1</v>
      </c>
      <c r="E310" s="22">
        <v>1</v>
      </c>
      <c r="F310" s="1"/>
      <c r="G310" s="1"/>
      <c r="H310" s="15"/>
      <c r="I310" s="15"/>
      <c r="J310">
        <f>Table2[[#This Row],[Cost unitar]]*Table2[[#This Row],[Stoc Depozit]]</f>
        <v>0</v>
      </c>
      <c r="K310" t="s">
        <v>610</v>
      </c>
    </row>
    <row r="311" spans="1:12" x14ac:dyDescent="0.25">
      <c r="A311" t="s">
        <v>553</v>
      </c>
      <c r="B311" t="s">
        <v>553</v>
      </c>
      <c r="C311" t="s">
        <v>391</v>
      </c>
      <c r="D311" s="22">
        <v>1</v>
      </c>
      <c r="E311" s="22">
        <v>1</v>
      </c>
      <c r="F311" s="1"/>
      <c r="G311" s="1"/>
      <c r="H311" s="15"/>
      <c r="I311" s="15"/>
      <c r="J311">
        <f>Table2[[#This Row],[Cost unitar]]*Table2[[#This Row],[Stoc Depozit]]</f>
        <v>0</v>
      </c>
      <c r="K311" t="s">
        <v>610</v>
      </c>
    </row>
    <row r="312" spans="1:12" x14ac:dyDescent="0.25">
      <c r="A312" t="s">
        <v>554</v>
      </c>
      <c r="B312" t="s">
        <v>554</v>
      </c>
      <c r="C312" t="s">
        <v>619</v>
      </c>
      <c r="D312" s="22">
        <v>1</v>
      </c>
      <c r="E312" s="22">
        <v>1</v>
      </c>
      <c r="F312" s="1"/>
      <c r="G312" s="1"/>
      <c r="H312" s="15"/>
      <c r="I312" s="15"/>
      <c r="J312">
        <f>Table2[[#This Row],[Cost unitar]]*Table2[[#This Row],[Stoc Depozit]]</f>
        <v>0</v>
      </c>
      <c r="K312" t="s">
        <v>610</v>
      </c>
    </row>
    <row r="313" spans="1:12" x14ac:dyDescent="0.25">
      <c r="A313" t="s">
        <v>555</v>
      </c>
      <c r="B313" t="s">
        <v>555</v>
      </c>
      <c r="C313" t="s">
        <v>620</v>
      </c>
      <c r="D313" s="22">
        <v>0</v>
      </c>
      <c r="E313" s="22">
        <v>1</v>
      </c>
      <c r="F313" s="1"/>
      <c r="G313" s="1"/>
      <c r="H313" s="15"/>
      <c r="I313" s="15"/>
      <c r="J313">
        <f>Table2[[#This Row],[Cost unitar]]*Table2[[#This Row],[Stoc Depozit]]</f>
        <v>0</v>
      </c>
      <c r="K313" t="s">
        <v>1278</v>
      </c>
    </row>
    <row r="314" spans="1:12" x14ac:dyDescent="0.25">
      <c r="A314" t="s">
        <v>556</v>
      </c>
      <c r="B314" t="s">
        <v>556</v>
      </c>
      <c r="C314" t="s">
        <v>622</v>
      </c>
      <c r="D314" s="22">
        <v>0</v>
      </c>
      <c r="E314" s="22">
        <v>1</v>
      </c>
      <c r="F314" s="1"/>
      <c r="G314" s="1"/>
      <c r="H314" s="15"/>
      <c r="I314" s="15"/>
      <c r="J314">
        <f>Table2[[#This Row],[Cost unitar]]*Table2[[#This Row],[Stoc Depozit]]</f>
        <v>0</v>
      </c>
      <c r="K314" t="s">
        <v>623</v>
      </c>
    </row>
    <row r="315" spans="1:12" x14ac:dyDescent="0.25">
      <c r="A315" t="s">
        <v>557</v>
      </c>
      <c r="B315" t="s">
        <v>557</v>
      </c>
      <c r="C315" t="s">
        <v>624</v>
      </c>
      <c r="D315" s="22">
        <v>0</v>
      </c>
      <c r="E315" s="22">
        <v>1</v>
      </c>
      <c r="F315" s="1"/>
      <c r="G315" s="1"/>
      <c r="H315" s="15"/>
      <c r="I315" s="15"/>
      <c r="J315">
        <f>Table2[[#This Row],[Cost unitar]]*Table2[[#This Row],[Stoc Depozit]]</f>
        <v>0</v>
      </c>
      <c r="K315" t="s">
        <v>623</v>
      </c>
    </row>
    <row r="316" spans="1:12" x14ac:dyDescent="0.25">
      <c r="A316" t="s">
        <v>558</v>
      </c>
      <c r="B316" t="s">
        <v>558</v>
      </c>
      <c r="C316" s="48" t="s">
        <v>704</v>
      </c>
      <c r="D316" s="22">
        <v>0</v>
      </c>
      <c r="E316" s="22">
        <v>1</v>
      </c>
      <c r="F316" s="1"/>
      <c r="G316" s="1"/>
      <c r="H316" s="15"/>
      <c r="I316" s="15"/>
      <c r="J316">
        <f>Table2[[#This Row],[Cost unitar]]*Table2[[#This Row],[Stoc Depozit]]</f>
        <v>0</v>
      </c>
      <c r="K316" t="s">
        <v>81</v>
      </c>
      <c r="L316" t="s">
        <v>872</v>
      </c>
    </row>
    <row r="317" spans="1:12" x14ac:dyDescent="0.25">
      <c r="A317" t="s">
        <v>875</v>
      </c>
      <c r="B317" t="s">
        <v>875</v>
      </c>
      <c r="C317" s="48" t="s">
        <v>697</v>
      </c>
      <c r="D317" s="22">
        <v>0</v>
      </c>
      <c r="E317" s="22">
        <v>1</v>
      </c>
      <c r="F317" s="1"/>
      <c r="G317" s="1"/>
      <c r="H317" s="15"/>
      <c r="I317" s="15"/>
      <c r="J317">
        <f>Table2[[#This Row],[Cost unitar]]*Table2[[#This Row],[Stoc Depozit]]</f>
        <v>0</v>
      </c>
      <c r="K317" t="s">
        <v>81</v>
      </c>
      <c r="L317" t="s">
        <v>872</v>
      </c>
    </row>
    <row r="318" spans="1:12" x14ac:dyDescent="0.25">
      <c r="A318" t="s">
        <v>876</v>
      </c>
      <c r="B318" t="s">
        <v>876</v>
      </c>
      <c r="C318" s="48" t="s">
        <v>698</v>
      </c>
      <c r="D318" s="22">
        <v>0</v>
      </c>
      <c r="E318" s="22">
        <v>1</v>
      </c>
      <c r="F318" s="1"/>
      <c r="G318" s="1"/>
      <c r="H318" s="15"/>
      <c r="I318" s="15"/>
      <c r="J318">
        <f>Table2[[#This Row],[Cost unitar]]*Table2[[#This Row],[Stoc Depozit]]</f>
        <v>0</v>
      </c>
      <c r="K318" t="s">
        <v>81</v>
      </c>
      <c r="L318" t="s">
        <v>872</v>
      </c>
    </row>
    <row r="319" spans="1:12" x14ac:dyDescent="0.25">
      <c r="A319" t="s">
        <v>877</v>
      </c>
      <c r="B319" t="s">
        <v>877</v>
      </c>
      <c r="C319" s="48" t="s">
        <v>637</v>
      </c>
      <c r="D319" s="22">
        <v>0</v>
      </c>
      <c r="E319" s="22">
        <v>1</v>
      </c>
      <c r="F319" s="1"/>
      <c r="G319" s="1"/>
      <c r="H319" s="15"/>
      <c r="I319" s="15"/>
      <c r="J319">
        <f>Table2[[#This Row],[Cost unitar]]*Table2[[#This Row],[Stoc Depozit]]</f>
        <v>0</v>
      </c>
      <c r="K319" t="s">
        <v>81</v>
      </c>
      <c r="L319" t="s">
        <v>872</v>
      </c>
    </row>
    <row r="320" spans="1:12" x14ac:dyDescent="0.25">
      <c r="A320" t="s">
        <v>878</v>
      </c>
      <c r="B320" t="s">
        <v>878</v>
      </c>
      <c r="C320" s="48" t="s">
        <v>631</v>
      </c>
      <c r="D320" s="22">
        <v>0</v>
      </c>
      <c r="E320" s="22">
        <v>1</v>
      </c>
      <c r="F320" s="1"/>
      <c r="G320" s="1"/>
      <c r="H320" s="15"/>
      <c r="I320" s="15"/>
      <c r="J320">
        <f>Table2[[#This Row],[Cost unitar]]*Table2[[#This Row],[Stoc Depozit]]</f>
        <v>0</v>
      </c>
      <c r="K320" t="s">
        <v>81</v>
      </c>
      <c r="L320" t="s">
        <v>872</v>
      </c>
    </row>
    <row r="321" spans="1:12" x14ac:dyDescent="0.25">
      <c r="A321" t="s">
        <v>879</v>
      </c>
      <c r="B321" t="s">
        <v>879</v>
      </c>
      <c r="C321" s="48" t="s">
        <v>699</v>
      </c>
      <c r="D321" s="22">
        <v>0</v>
      </c>
      <c r="E321" s="22">
        <v>1</v>
      </c>
      <c r="F321" s="1"/>
      <c r="G321" s="1"/>
      <c r="H321" s="15"/>
      <c r="I321" s="15"/>
      <c r="J321">
        <f>Table2[[#This Row],[Cost unitar]]*Table2[[#This Row],[Stoc Depozit]]</f>
        <v>0</v>
      </c>
      <c r="K321" t="s">
        <v>81</v>
      </c>
      <c r="L321" t="s">
        <v>872</v>
      </c>
    </row>
    <row r="322" spans="1:12" x14ac:dyDescent="0.25">
      <c r="A322" t="s">
        <v>880</v>
      </c>
      <c r="B322" t="s">
        <v>880</v>
      </c>
      <c r="C322" s="48" t="s">
        <v>635</v>
      </c>
      <c r="D322" s="22">
        <v>0</v>
      </c>
      <c r="E322" s="22">
        <v>1</v>
      </c>
      <c r="F322" s="1"/>
      <c r="G322" s="1"/>
      <c r="H322" s="15"/>
      <c r="I322" s="15"/>
      <c r="J322">
        <f>Table2[[#This Row],[Cost unitar]]*Table2[[#This Row],[Stoc Depozit]]</f>
        <v>0</v>
      </c>
      <c r="K322" t="s">
        <v>81</v>
      </c>
      <c r="L322" t="s">
        <v>872</v>
      </c>
    </row>
    <row r="323" spans="1:12" x14ac:dyDescent="0.25">
      <c r="A323" t="s">
        <v>881</v>
      </c>
      <c r="B323" t="s">
        <v>881</v>
      </c>
      <c r="C323" s="48" t="s">
        <v>634</v>
      </c>
      <c r="D323" s="22">
        <v>0</v>
      </c>
      <c r="E323" s="22">
        <v>1</v>
      </c>
      <c r="F323" s="1"/>
      <c r="G323" s="1"/>
      <c r="H323" s="15"/>
      <c r="I323" s="15"/>
      <c r="J323">
        <f>Table2[[#This Row],[Cost unitar]]*Table2[[#This Row],[Stoc Depozit]]</f>
        <v>0</v>
      </c>
      <c r="K323" t="s">
        <v>81</v>
      </c>
      <c r="L323" t="s">
        <v>872</v>
      </c>
    </row>
    <row r="324" spans="1:12" x14ac:dyDescent="0.25">
      <c r="A324" t="s">
        <v>882</v>
      </c>
      <c r="B324" t="s">
        <v>882</v>
      </c>
      <c r="C324" s="48" t="s">
        <v>700</v>
      </c>
      <c r="D324" s="22">
        <v>0</v>
      </c>
      <c r="E324" s="22">
        <v>1</v>
      </c>
      <c r="F324" s="1"/>
      <c r="G324" s="1"/>
      <c r="H324" s="15"/>
      <c r="I324" s="15"/>
      <c r="J324">
        <f>Table2[[#This Row],[Cost unitar]]*Table2[[#This Row],[Stoc Depozit]]</f>
        <v>0</v>
      </c>
      <c r="K324" t="s">
        <v>81</v>
      </c>
      <c r="L324" t="s">
        <v>872</v>
      </c>
    </row>
    <row r="325" spans="1:12" x14ac:dyDescent="0.25">
      <c r="A325" t="s">
        <v>883</v>
      </c>
      <c r="B325" t="s">
        <v>883</v>
      </c>
      <c r="C325" s="48" t="s">
        <v>701</v>
      </c>
      <c r="D325" s="22">
        <v>0</v>
      </c>
      <c r="E325" s="22">
        <v>1</v>
      </c>
      <c r="F325" s="1"/>
      <c r="G325" s="1"/>
      <c r="H325" s="15"/>
      <c r="I325" s="15"/>
      <c r="J325">
        <f>Table2[[#This Row],[Cost unitar]]*Table2[[#This Row],[Stoc Depozit]]</f>
        <v>0</v>
      </c>
      <c r="K325" t="s">
        <v>81</v>
      </c>
      <c r="L325" t="s">
        <v>872</v>
      </c>
    </row>
    <row r="326" spans="1:12" x14ac:dyDescent="0.25">
      <c r="A326" t="s">
        <v>884</v>
      </c>
      <c r="B326" t="s">
        <v>884</v>
      </c>
      <c r="C326" s="48" t="s">
        <v>702</v>
      </c>
      <c r="D326" s="22">
        <v>0</v>
      </c>
      <c r="E326" s="22">
        <v>1</v>
      </c>
      <c r="F326" s="1"/>
      <c r="G326" s="1"/>
      <c r="H326" s="15"/>
      <c r="I326" s="15"/>
      <c r="J326">
        <f>Table2[[#This Row],[Cost unitar]]*Table2[[#This Row],[Stoc Depozit]]</f>
        <v>0</v>
      </c>
      <c r="K326" t="s">
        <v>81</v>
      </c>
      <c r="L326" t="s">
        <v>872</v>
      </c>
    </row>
    <row r="327" spans="1:12" ht="15.75" thickBot="1" x14ac:dyDescent="0.3">
      <c r="A327" t="s">
        <v>885</v>
      </c>
      <c r="B327" t="s">
        <v>885</v>
      </c>
      <c r="C327" s="48" t="s">
        <v>703</v>
      </c>
      <c r="D327" s="22">
        <v>0</v>
      </c>
      <c r="E327" s="22">
        <v>1</v>
      </c>
      <c r="F327" s="1"/>
      <c r="G327" s="1"/>
      <c r="H327" s="15"/>
      <c r="I327" s="15"/>
      <c r="J327">
        <f>Table2[[#This Row],[Cost unitar]]*Table2[[#This Row],[Stoc Depozit]]</f>
        <v>0</v>
      </c>
      <c r="K327" t="s">
        <v>81</v>
      </c>
      <c r="L327" t="s">
        <v>872</v>
      </c>
    </row>
    <row r="328" spans="1:12" x14ac:dyDescent="0.25">
      <c r="A328" t="s">
        <v>559</v>
      </c>
      <c r="B328" t="s">
        <v>559</v>
      </c>
      <c r="C328" s="49" t="s">
        <v>696</v>
      </c>
      <c r="D328" s="22">
        <v>0</v>
      </c>
      <c r="E328" s="22">
        <v>1</v>
      </c>
      <c r="F328" s="1"/>
      <c r="G328" s="1"/>
      <c r="H328" s="15"/>
      <c r="I328" s="15"/>
      <c r="J328">
        <f>Table2[[#This Row],[Cost unitar]]*Table2[[#This Row],[Stoc Depozit]]</f>
        <v>0</v>
      </c>
      <c r="K328" t="s">
        <v>81</v>
      </c>
      <c r="L328" t="s">
        <v>871</v>
      </c>
    </row>
    <row r="329" spans="1:12" x14ac:dyDescent="0.25">
      <c r="A329" t="s">
        <v>686</v>
      </c>
      <c r="B329" t="s">
        <v>686</v>
      </c>
      <c r="C329" s="46" t="s">
        <v>680</v>
      </c>
      <c r="D329" s="22">
        <v>0</v>
      </c>
      <c r="E329" s="22">
        <v>1</v>
      </c>
      <c r="F329" s="1"/>
      <c r="G329" s="1"/>
      <c r="H329" s="15"/>
      <c r="I329" s="15"/>
      <c r="J329">
        <f>Table2[[#This Row],[Cost unitar]]*Table2[[#This Row],[Stoc Depozit]]</f>
        <v>0</v>
      </c>
      <c r="K329" t="s">
        <v>81</v>
      </c>
      <c r="L329" t="s">
        <v>871</v>
      </c>
    </row>
    <row r="330" spans="1:12" x14ac:dyDescent="0.25">
      <c r="A330" t="s">
        <v>687</v>
      </c>
      <c r="B330" t="s">
        <v>687</v>
      </c>
      <c r="C330" s="46" t="s">
        <v>631</v>
      </c>
      <c r="D330" s="22">
        <v>0</v>
      </c>
      <c r="E330" s="22">
        <v>1</v>
      </c>
      <c r="F330" s="1"/>
      <c r="G330" s="1"/>
      <c r="H330" s="15"/>
      <c r="I330" s="15"/>
      <c r="J330">
        <f>Table2[[#This Row],[Cost unitar]]*Table2[[#This Row],[Stoc Depozit]]</f>
        <v>0</v>
      </c>
      <c r="K330" t="s">
        <v>81</v>
      </c>
      <c r="L330" t="s">
        <v>871</v>
      </c>
    </row>
    <row r="331" spans="1:12" x14ac:dyDescent="0.25">
      <c r="A331" t="s">
        <v>688</v>
      </c>
      <c r="B331" t="s">
        <v>688</v>
      </c>
      <c r="C331" s="46" t="s">
        <v>681</v>
      </c>
      <c r="D331" s="22">
        <v>0</v>
      </c>
      <c r="E331" s="22">
        <v>1</v>
      </c>
      <c r="F331" s="1"/>
      <c r="G331" s="1"/>
      <c r="H331" s="15"/>
      <c r="I331" s="15"/>
      <c r="J331">
        <f>Table2[[#This Row],[Cost unitar]]*Table2[[#This Row],[Stoc Depozit]]</f>
        <v>0</v>
      </c>
      <c r="K331" t="s">
        <v>81</v>
      </c>
      <c r="L331" t="s">
        <v>871</v>
      </c>
    </row>
    <row r="332" spans="1:12" x14ac:dyDescent="0.25">
      <c r="A332" t="s">
        <v>689</v>
      </c>
      <c r="B332" t="s">
        <v>689</v>
      </c>
      <c r="C332" s="46" t="s">
        <v>682</v>
      </c>
      <c r="D332" s="22">
        <v>0</v>
      </c>
      <c r="E332" s="22">
        <v>1</v>
      </c>
      <c r="F332" s="1"/>
      <c r="G332" s="1"/>
      <c r="H332" s="15"/>
      <c r="I332" s="15"/>
      <c r="J332">
        <f>Table2[[#This Row],[Cost unitar]]*Table2[[#This Row],[Stoc Depozit]]</f>
        <v>0</v>
      </c>
      <c r="K332" t="s">
        <v>81</v>
      </c>
      <c r="L332" t="s">
        <v>871</v>
      </c>
    </row>
    <row r="333" spans="1:12" x14ac:dyDescent="0.25">
      <c r="A333" t="s">
        <v>690</v>
      </c>
      <c r="B333" t="s">
        <v>690</v>
      </c>
      <c r="C333" s="46" t="s">
        <v>683</v>
      </c>
      <c r="D333" s="22">
        <v>0</v>
      </c>
      <c r="E333" s="22">
        <v>1</v>
      </c>
      <c r="F333" s="1"/>
      <c r="G333" s="1"/>
      <c r="H333" s="15"/>
      <c r="I333" s="15"/>
      <c r="J333">
        <f>Table2[[#This Row],[Cost unitar]]*Table2[[#This Row],[Stoc Depozit]]</f>
        <v>0</v>
      </c>
      <c r="K333" t="s">
        <v>81</v>
      </c>
      <c r="L333" t="s">
        <v>871</v>
      </c>
    </row>
    <row r="334" spans="1:12" x14ac:dyDescent="0.25">
      <c r="A334" t="s">
        <v>691</v>
      </c>
      <c r="B334" t="s">
        <v>691</v>
      </c>
      <c r="C334" s="46" t="s">
        <v>684</v>
      </c>
      <c r="D334" s="22">
        <v>0</v>
      </c>
      <c r="E334" s="22">
        <v>1</v>
      </c>
      <c r="F334" s="1"/>
      <c r="G334" s="1"/>
      <c r="H334" s="15"/>
      <c r="I334" s="15"/>
      <c r="J334">
        <f>Table2[[#This Row],[Cost unitar]]*Table2[[#This Row],[Stoc Depozit]]</f>
        <v>0</v>
      </c>
      <c r="K334" t="s">
        <v>81</v>
      </c>
      <c r="L334" t="s">
        <v>871</v>
      </c>
    </row>
    <row r="335" spans="1:12" x14ac:dyDescent="0.25">
      <c r="A335" t="s">
        <v>692</v>
      </c>
      <c r="B335" t="s">
        <v>692</v>
      </c>
      <c r="C335" s="46" t="s">
        <v>636</v>
      </c>
      <c r="D335" s="22">
        <v>0</v>
      </c>
      <c r="E335" s="22">
        <v>1</v>
      </c>
      <c r="F335" s="1"/>
      <c r="G335" s="1"/>
      <c r="H335" s="15"/>
      <c r="I335" s="15"/>
      <c r="J335">
        <f>Table2[[#This Row],[Cost unitar]]*Table2[[#This Row],[Stoc Depozit]]</f>
        <v>0</v>
      </c>
      <c r="K335" t="s">
        <v>81</v>
      </c>
      <c r="L335" t="s">
        <v>871</v>
      </c>
    </row>
    <row r="336" spans="1:12" x14ac:dyDescent="0.25">
      <c r="A336" t="s">
        <v>693</v>
      </c>
      <c r="B336" t="s">
        <v>693</v>
      </c>
      <c r="C336" s="46" t="s">
        <v>636</v>
      </c>
      <c r="D336" s="22">
        <v>0</v>
      </c>
      <c r="E336" s="22">
        <v>1</v>
      </c>
      <c r="F336" s="1"/>
      <c r="G336" s="1"/>
      <c r="H336" s="15"/>
      <c r="I336" s="15"/>
      <c r="J336">
        <f>Table2[[#This Row],[Cost unitar]]*Table2[[#This Row],[Stoc Depozit]]</f>
        <v>0</v>
      </c>
      <c r="K336" t="s">
        <v>81</v>
      </c>
      <c r="L336" t="s">
        <v>871</v>
      </c>
    </row>
    <row r="337" spans="1:12" x14ac:dyDescent="0.25">
      <c r="A337" t="s">
        <v>694</v>
      </c>
      <c r="B337" t="s">
        <v>694</v>
      </c>
      <c r="C337" s="46" t="s">
        <v>675</v>
      </c>
      <c r="D337" s="22">
        <v>0</v>
      </c>
      <c r="E337" s="22">
        <v>1</v>
      </c>
      <c r="F337" s="1"/>
      <c r="G337" s="1"/>
      <c r="H337" s="15"/>
      <c r="I337" s="15"/>
      <c r="J337">
        <f>Table2[[#This Row],[Cost unitar]]*Table2[[#This Row],[Stoc Depozit]]</f>
        <v>0</v>
      </c>
      <c r="K337" t="s">
        <v>81</v>
      </c>
      <c r="L337" t="s">
        <v>871</v>
      </c>
    </row>
    <row r="338" spans="1:12" ht="15.75" thickBot="1" x14ac:dyDescent="0.3">
      <c r="A338" t="s">
        <v>695</v>
      </c>
      <c r="B338" t="s">
        <v>695</v>
      </c>
      <c r="C338" s="47" t="s">
        <v>685</v>
      </c>
      <c r="D338" s="22">
        <v>0</v>
      </c>
      <c r="E338" s="22">
        <v>1</v>
      </c>
      <c r="F338" s="1"/>
      <c r="G338" s="1"/>
      <c r="H338" s="15"/>
      <c r="I338" s="15"/>
      <c r="J338">
        <f>Table2[[#This Row],[Cost unitar]]*Table2[[#This Row],[Stoc Depozit]]</f>
        <v>0</v>
      </c>
      <c r="K338" t="s">
        <v>81</v>
      </c>
      <c r="L338" t="s">
        <v>871</v>
      </c>
    </row>
    <row r="339" spans="1:12" x14ac:dyDescent="0.25">
      <c r="A339" t="s">
        <v>560</v>
      </c>
      <c r="B339" t="s">
        <v>560</v>
      </c>
      <c r="C339" s="28" t="s">
        <v>903</v>
      </c>
      <c r="D339" s="22">
        <v>0</v>
      </c>
      <c r="E339" s="22">
        <v>1</v>
      </c>
      <c r="F339" s="1"/>
      <c r="G339" s="1"/>
      <c r="H339" s="15"/>
      <c r="I339" s="15"/>
      <c r="J339">
        <f>Table2[[#This Row],[Cost unitar]]*Table2[[#This Row],[Stoc Depozit]]</f>
        <v>0</v>
      </c>
      <c r="K339" t="s">
        <v>782</v>
      </c>
      <c r="L339" t="s">
        <v>870</v>
      </c>
    </row>
    <row r="340" spans="1:12" x14ac:dyDescent="0.25">
      <c r="A340" t="s">
        <v>752</v>
      </c>
      <c r="B340" t="s">
        <v>752</v>
      </c>
      <c r="C340" s="28" t="s">
        <v>700</v>
      </c>
      <c r="D340" s="22">
        <v>0</v>
      </c>
      <c r="E340" s="22">
        <v>1</v>
      </c>
      <c r="F340" s="1"/>
      <c r="G340" s="1"/>
      <c r="H340" s="15"/>
      <c r="I340" s="15"/>
      <c r="J340">
        <f>Table2[[#This Row],[Cost unitar]]*Table2[[#This Row],[Stoc Depozit]]</f>
        <v>0</v>
      </c>
      <c r="K340" t="s">
        <v>782</v>
      </c>
      <c r="L340" t="s">
        <v>870</v>
      </c>
    </row>
    <row r="341" spans="1:12" x14ac:dyDescent="0.25">
      <c r="A341" t="s">
        <v>753</v>
      </c>
      <c r="B341" t="s">
        <v>753</v>
      </c>
      <c r="C341" s="28" t="s">
        <v>717</v>
      </c>
      <c r="D341" s="22">
        <v>0</v>
      </c>
      <c r="E341" s="22">
        <v>1</v>
      </c>
      <c r="F341" s="1"/>
      <c r="G341" s="1"/>
      <c r="H341" s="15"/>
      <c r="I341" s="15"/>
      <c r="J341">
        <f>Table2[[#This Row],[Cost unitar]]*Table2[[#This Row],[Stoc Depozit]]</f>
        <v>0</v>
      </c>
      <c r="K341" t="s">
        <v>782</v>
      </c>
      <c r="L341" t="s">
        <v>870</v>
      </c>
    </row>
    <row r="342" spans="1:12" x14ac:dyDescent="0.25">
      <c r="A342" t="s">
        <v>754</v>
      </c>
      <c r="B342" t="s">
        <v>754</v>
      </c>
      <c r="C342" s="28" t="s">
        <v>718</v>
      </c>
      <c r="D342" s="22">
        <v>0</v>
      </c>
      <c r="E342" s="22">
        <v>1</v>
      </c>
      <c r="F342" s="1"/>
      <c r="G342" s="1"/>
      <c r="H342" s="15"/>
      <c r="I342" s="15"/>
      <c r="J342">
        <f>Table2[[#This Row],[Cost unitar]]*Table2[[#This Row],[Stoc Depozit]]</f>
        <v>0</v>
      </c>
      <c r="K342" t="s">
        <v>782</v>
      </c>
      <c r="L342" t="s">
        <v>870</v>
      </c>
    </row>
    <row r="343" spans="1:12" x14ac:dyDescent="0.25">
      <c r="A343" t="s">
        <v>755</v>
      </c>
      <c r="B343" t="s">
        <v>755</v>
      </c>
      <c r="C343" s="28" t="s">
        <v>705</v>
      </c>
      <c r="D343" s="22">
        <v>0</v>
      </c>
      <c r="E343" s="22">
        <v>1</v>
      </c>
      <c r="F343" s="1"/>
      <c r="G343" s="1"/>
      <c r="H343" s="15"/>
      <c r="I343" s="15"/>
      <c r="J343">
        <f>Table2[[#This Row],[Cost unitar]]*Table2[[#This Row],[Stoc Depozit]]</f>
        <v>0</v>
      </c>
      <c r="K343" t="s">
        <v>782</v>
      </c>
      <c r="L343" t="s">
        <v>870</v>
      </c>
    </row>
    <row r="344" spans="1:12" x14ac:dyDescent="0.25">
      <c r="A344" t="s">
        <v>756</v>
      </c>
      <c r="B344" t="s">
        <v>756</v>
      </c>
      <c r="C344" s="28" t="s">
        <v>637</v>
      </c>
      <c r="D344" s="22">
        <v>0</v>
      </c>
      <c r="E344" s="22">
        <v>1</v>
      </c>
      <c r="F344" s="1"/>
      <c r="G344" s="1"/>
      <c r="H344" s="15"/>
      <c r="I344" s="15"/>
      <c r="J344">
        <f>Table2[[#This Row],[Cost unitar]]*Table2[[#This Row],[Stoc Depozit]]</f>
        <v>0</v>
      </c>
      <c r="K344" t="s">
        <v>782</v>
      </c>
      <c r="L344" t="s">
        <v>870</v>
      </c>
    </row>
    <row r="345" spans="1:12" x14ac:dyDescent="0.25">
      <c r="A345" t="s">
        <v>757</v>
      </c>
      <c r="B345" t="s">
        <v>757</v>
      </c>
      <c r="C345" s="28" t="s">
        <v>706</v>
      </c>
      <c r="D345" s="22">
        <v>0</v>
      </c>
      <c r="E345" s="22">
        <v>1</v>
      </c>
      <c r="F345" s="1"/>
      <c r="G345" s="1"/>
      <c r="H345" s="15"/>
      <c r="I345" s="15"/>
      <c r="J345">
        <f>Table2[[#This Row],[Cost unitar]]*Table2[[#This Row],[Stoc Depozit]]</f>
        <v>0</v>
      </c>
      <c r="K345" t="s">
        <v>782</v>
      </c>
      <c r="L345" t="s">
        <v>870</v>
      </c>
    </row>
    <row r="346" spans="1:12" x14ac:dyDescent="0.25">
      <c r="A346" t="s">
        <v>758</v>
      </c>
      <c r="B346" t="s">
        <v>758</v>
      </c>
      <c r="C346" s="28" t="s">
        <v>707</v>
      </c>
      <c r="D346" s="22">
        <v>0</v>
      </c>
      <c r="E346" s="22">
        <v>1</v>
      </c>
      <c r="F346" s="1"/>
      <c r="G346" s="1"/>
      <c r="H346" s="15"/>
      <c r="I346" s="15"/>
      <c r="J346">
        <f>Table2[[#This Row],[Cost unitar]]*Table2[[#This Row],[Stoc Depozit]]</f>
        <v>0</v>
      </c>
      <c r="K346" t="s">
        <v>782</v>
      </c>
      <c r="L346" t="s">
        <v>870</v>
      </c>
    </row>
    <row r="347" spans="1:12" x14ac:dyDescent="0.25">
      <c r="A347" t="s">
        <v>759</v>
      </c>
      <c r="B347" t="s">
        <v>759</v>
      </c>
      <c r="C347" s="28" t="s">
        <v>708</v>
      </c>
      <c r="D347" s="22">
        <v>0</v>
      </c>
      <c r="E347" s="22">
        <v>1</v>
      </c>
      <c r="F347" s="1"/>
      <c r="G347" s="1"/>
      <c r="H347" s="15"/>
      <c r="I347" s="15"/>
      <c r="J347">
        <f>Table2[[#This Row],[Cost unitar]]*Table2[[#This Row],[Stoc Depozit]]</f>
        <v>0</v>
      </c>
      <c r="K347" t="s">
        <v>782</v>
      </c>
      <c r="L347" t="s">
        <v>870</v>
      </c>
    </row>
    <row r="348" spans="1:12" x14ac:dyDescent="0.25">
      <c r="A348" t="s">
        <v>760</v>
      </c>
      <c r="B348" t="s">
        <v>760</v>
      </c>
      <c r="C348" s="28" t="s">
        <v>709</v>
      </c>
      <c r="D348" s="22">
        <v>0</v>
      </c>
      <c r="E348" s="22">
        <v>1</v>
      </c>
      <c r="F348" s="1"/>
      <c r="G348" s="1"/>
      <c r="H348" s="15"/>
      <c r="I348" s="15"/>
      <c r="J348">
        <f>Table2[[#This Row],[Cost unitar]]*Table2[[#This Row],[Stoc Depozit]]</f>
        <v>0</v>
      </c>
      <c r="K348" t="s">
        <v>782</v>
      </c>
      <c r="L348" t="s">
        <v>870</v>
      </c>
    </row>
    <row r="349" spans="1:12" x14ac:dyDescent="0.25">
      <c r="A349" t="s">
        <v>761</v>
      </c>
      <c r="B349" t="s">
        <v>761</v>
      </c>
      <c r="C349" s="28" t="s">
        <v>710</v>
      </c>
      <c r="D349" s="22">
        <v>0</v>
      </c>
      <c r="E349" s="22">
        <v>1</v>
      </c>
      <c r="F349" s="1"/>
      <c r="G349" s="1"/>
      <c r="H349" s="15"/>
      <c r="I349" s="15"/>
      <c r="J349">
        <f>Table2[[#This Row],[Cost unitar]]*Table2[[#This Row],[Stoc Depozit]]</f>
        <v>0</v>
      </c>
      <c r="K349" t="s">
        <v>782</v>
      </c>
      <c r="L349" t="s">
        <v>870</v>
      </c>
    </row>
    <row r="350" spans="1:12" x14ac:dyDescent="0.25">
      <c r="A350" t="s">
        <v>762</v>
      </c>
      <c r="B350" t="s">
        <v>762</v>
      </c>
      <c r="C350" s="28" t="s">
        <v>711</v>
      </c>
      <c r="D350" s="22">
        <v>0</v>
      </c>
      <c r="E350" s="22">
        <v>1</v>
      </c>
      <c r="F350" s="1"/>
      <c r="G350" s="1"/>
      <c r="H350" s="15"/>
      <c r="I350" s="15"/>
      <c r="J350">
        <f>Table2[[#This Row],[Cost unitar]]*Table2[[#This Row],[Stoc Depozit]]</f>
        <v>0</v>
      </c>
      <c r="K350" t="s">
        <v>782</v>
      </c>
      <c r="L350" t="s">
        <v>870</v>
      </c>
    </row>
    <row r="351" spans="1:12" x14ac:dyDescent="0.25">
      <c r="A351" t="s">
        <v>763</v>
      </c>
      <c r="B351" t="s">
        <v>763</v>
      </c>
      <c r="C351" s="28" t="s">
        <v>636</v>
      </c>
      <c r="D351" s="22">
        <v>0</v>
      </c>
      <c r="E351" s="22">
        <v>1</v>
      </c>
      <c r="F351" s="1"/>
      <c r="G351" s="1"/>
      <c r="H351" s="15"/>
      <c r="I351" s="15"/>
      <c r="J351">
        <f>Table2[[#This Row],[Cost unitar]]*Table2[[#This Row],[Stoc Depozit]]</f>
        <v>0</v>
      </c>
      <c r="K351" t="s">
        <v>782</v>
      </c>
      <c r="L351" t="s">
        <v>870</v>
      </c>
    </row>
    <row r="352" spans="1:12" x14ac:dyDescent="0.25">
      <c r="A352" t="s">
        <v>764</v>
      </c>
      <c r="B352" t="s">
        <v>764</v>
      </c>
      <c r="C352" s="28" t="s">
        <v>712</v>
      </c>
      <c r="D352" s="22">
        <v>0</v>
      </c>
      <c r="E352" s="22">
        <v>1</v>
      </c>
      <c r="F352" s="1"/>
      <c r="G352" s="1"/>
      <c r="H352" s="15"/>
      <c r="I352" s="15"/>
      <c r="J352">
        <f>Table2[[#This Row],[Cost unitar]]*Table2[[#This Row],[Stoc Depozit]]</f>
        <v>0</v>
      </c>
      <c r="K352" t="s">
        <v>782</v>
      </c>
      <c r="L352" t="s">
        <v>870</v>
      </c>
    </row>
    <row r="353" spans="1:12" x14ac:dyDescent="0.25">
      <c r="A353" t="s">
        <v>765</v>
      </c>
      <c r="B353" t="s">
        <v>765</v>
      </c>
      <c r="C353" s="28" t="s">
        <v>713</v>
      </c>
      <c r="D353" s="22">
        <v>0</v>
      </c>
      <c r="E353" s="22">
        <v>1</v>
      </c>
      <c r="F353" s="1"/>
      <c r="G353" s="1"/>
      <c r="H353" s="15"/>
      <c r="I353" s="15"/>
      <c r="J353">
        <f>Table2[[#This Row],[Cost unitar]]*Table2[[#This Row],[Stoc Depozit]]</f>
        <v>0</v>
      </c>
      <c r="K353" t="s">
        <v>782</v>
      </c>
      <c r="L353" t="s">
        <v>870</v>
      </c>
    </row>
    <row r="354" spans="1:12" x14ac:dyDescent="0.25">
      <c r="A354" t="s">
        <v>778</v>
      </c>
      <c r="B354" t="s">
        <v>778</v>
      </c>
      <c r="C354" s="28" t="s">
        <v>904</v>
      </c>
      <c r="D354" s="22">
        <v>0</v>
      </c>
      <c r="E354" s="22">
        <v>1</v>
      </c>
      <c r="F354" s="1"/>
      <c r="G354" s="1"/>
      <c r="H354" s="15"/>
      <c r="I354" s="15"/>
      <c r="J354">
        <f>Table2[[#This Row],[Cost unitar]]*Table2[[#This Row],[Stoc Depozit]]</f>
        <v>0</v>
      </c>
      <c r="K354" t="s">
        <v>782</v>
      </c>
      <c r="L354" t="s">
        <v>870</v>
      </c>
    </row>
    <row r="355" spans="1:12" x14ac:dyDescent="0.25">
      <c r="A355" t="s">
        <v>779</v>
      </c>
      <c r="B355" t="s">
        <v>779</v>
      </c>
      <c r="C355" s="28" t="s">
        <v>714</v>
      </c>
      <c r="D355" s="22">
        <v>0</v>
      </c>
      <c r="E355" s="22">
        <v>1</v>
      </c>
      <c r="F355" s="1"/>
      <c r="G355" s="1"/>
      <c r="H355" s="15"/>
      <c r="I355" s="15"/>
      <c r="J355">
        <f>Table2[[#This Row],[Cost unitar]]*Table2[[#This Row],[Stoc Depozit]]</f>
        <v>0</v>
      </c>
      <c r="K355" t="s">
        <v>782</v>
      </c>
      <c r="L355" t="s">
        <v>870</v>
      </c>
    </row>
    <row r="356" spans="1:12" x14ac:dyDescent="0.25">
      <c r="A356" t="s">
        <v>780</v>
      </c>
      <c r="B356" t="s">
        <v>780</v>
      </c>
      <c r="C356" s="28" t="s">
        <v>716</v>
      </c>
      <c r="D356" s="22">
        <v>0</v>
      </c>
      <c r="E356" s="22">
        <v>1</v>
      </c>
      <c r="F356" s="1"/>
      <c r="G356" s="1"/>
      <c r="H356" s="15"/>
      <c r="I356" s="15"/>
      <c r="J356">
        <f>Table2[[#This Row],[Cost unitar]]*Table2[[#This Row],[Stoc Depozit]]</f>
        <v>0</v>
      </c>
      <c r="K356" t="s">
        <v>782</v>
      </c>
      <c r="L356" t="s">
        <v>870</v>
      </c>
    </row>
    <row r="357" spans="1:12" x14ac:dyDescent="0.25">
      <c r="A357" t="s">
        <v>781</v>
      </c>
      <c r="B357" t="s">
        <v>781</v>
      </c>
      <c r="C357" s="28" t="s">
        <v>715</v>
      </c>
      <c r="D357" s="22">
        <v>0</v>
      </c>
      <c r="E357" s="22">
        <v>1</v>
      </c>
      <c r="F357" s="1"/>
      <c r="G357" s="1"/>
      <c r="H357" s="15"/>
      <c r="I357" s="15"/>
      <c r="J357">
        <f>Table2[[#This Row],[Cost unitar]]*Table2[[#This Row],[Stoc Depozit]]</f>
        <v>0</v>
      </c>
      <c r="K357" t="s">
        <v>782</v>
      </c>
      <c r="L357" t="s">
        <v>870</v>
      </c>
    </row>
    <row r="358" spans="1:12" ht="15.75" thickBot="1" x14ac:dyDescent="0.3">
      <c r="A358" t="s">
        <v>561</v>
      </c>
      <c r="B358" t="s">
        <v>561</v>
      </c>
      <c r="C358" s="24" t="s">
        <v>625</v>
      </c>
      <c r="D358" s="22">
        <v>0</v>
      </c>
      <c r="E358" s="22">
        <v>0</v>
      </c>
      <c r="F358" s="1"/>
      <c r="G358" s="1"/>
      <c r="H358" s="15"/>
      <c r="I358" s="15"/>
      <c r="J358">
        <f>Table2[[#This Row],[Cost unitar]]*Table2[[#This Row],[Stoc Depozit]]</f>
        <v>0</v>
      </c>
      <c r="K358" t="s">
        <v>782</v>
      </c>
      <c r="L358" t="s">
        <v>832</v>
      </c>
    </row>
    <row r="359" spans="1:12" x14ac:dyDescent="0.25">
      <c r="A359" t="s">
        <v>562</v>
      </c>
      <c r="B359" t="s">
        <v>562</v>
      </c>
      <c r="C359" s="25" t="s">
        <v>629</v>
      </c>
      <c r="D359" s="22">
        <v>1</v>
      </c>
      <c r="E359" s="22">
        <v>0</v>
      </c>
      <c r="F359" s="1"/>
      <c r="G359" s="1"/>
      <c r="H359" s="15"/>
      <c r="I359" s="15"/>
      <c r="J359">
        <f>Table2[[#This Row],[Cost unitar]]*Table2[[#This Row],[Stoc Depozit]]</f>
        <v>0</v>
      </c>
      <c r="K359" t="s">
        <v>869</v>
      </c>
    </row>
    <row r="360" spans="1:12" x14ac:dyDescent="0.25">
      <c r="A360" t="s">
        <v>645</v>
      </c>
      <c r="B360" t="s">
        <v>645</v>
      </c>
      <c r="C360" s="26" t="s">
        <v>630</v>
      </c>
      <c r="D360" s="22">
        <v>1</v>
      </c>
      <c r="E360" s="22">
        <v>0</v>
      </c>
      <c r="F360" s="1"/>
      <c r="G360" s="1"/>
      <c r="H360" s="15"/>
      <c r="I360" s="15"/>
      <c r="J360">
        <f>Table2[[#This Row],[Cost unitar]]*Table2[[#This Row],[Stoc Depozit]]</f>
        <v>0</v>
      </c>
      <c r="K360" t="s">
        <v>869</v>
      </c>
    </row>
    <row r="361" spans="1:12" x14ac:dyDescent="0.25">
      <c r="A361" t="s">
        <v>646</v>
      </c>
      <c r="B361" t="s">
        <v>646</v>
      </c>
      <c r="C361" s="26" t="s">
        <v>631</v>
      </c>
      <c r="D361" s="22">
        <v>1</v>
      </c>
      <c r="E361" s="22">
        <v>0</v>
      </c>
      <c r="F361" s="1"/>
      <c r="G361" s="1"/>
      <c r="H361" s="15"/>
      <c r="I361" s="15"/>
      <c r="J361">
        <f>Table2[[#This Row],[Cost unitar]]*Table2[[#This Row],[Stoc Depozit]]</f>
        <v>0</v>
      </c>
      <c r="K361" t="s">
        <v>869</v>
      </c>
    </row>
    <row r="362" spans="1:12" x14ac:dyDescent="0.25">
      <c r="A362" t="s">
        <v>647</v>
      </c>
      <c r="B362" t="s">
        <v>647</v>
      </c>
      <c r="C362" s="26" t="s">
        <v>635</v>
      </c>
      <c r="D362" s="22">
        <v>1</v>
      </c>
      <c r="E362" s="22">
        <v>0</v>
      </c>
      <c r="F362" s="1"/>
      <c r="G362" s="1"/>
      <c r="H362" s="15"/>
      <c r="I362" s="15"/>
      <c r="J362">
        <f>Table2[[#This Row],[Cost unitar]]*Table2[[#This Row],[Stoc Depozit]]</f>
        <v>0</v>
      </c>
      <c r="K362" t="s">
        <v>869</v>
      </c>
    </row>
    <row r="363" spans="1:12" x14ac:dyDescent="0.25">
      <c r="A363" t="s">
        <v>648</v>
      </c>
      <c r="B363" t="s">
        <v>648</v>
      </c>
      <c r="C363" s="26" t="s">
        <v>632</v>
      </c>
      <c r="D363" s="22">
        <v>1</v>
      </c>
      <c r="E363" s="22">
        <v>0</v>
      </c>
      <c r="F363" s="1"/>
      <c r="G363" s="1"/>
      <c r="H363" s="15"/>
      <c r="I363" s="15"/>
      <c r="J363">
        <f>Table2[[#This Row],[Cost unitar]]*Table2[[#This Row],[Stoc Depozit]]</f>
        <v>0</v>
      </c>
      <c r="K363" t="s">
        <v>869</v>
      </c>
    </row>
    <row r="364" spans="1:12" x14ac:dyDescent="0.25">
      <c r="A364" t="s">
        <v>649</v>
      </c>
      <c r="B364" t="s">
        <v>649</v>
      </c>
      <c r="C364" s="26" t="s">
        <v>634</v>
      </c>
      <c r="D364" s="22">
        <v>1</v>
      </c>
      <c r="E364" s="22">
        <v>0</v>
      </c>
      <c r="F364" s="1"/>
      <c r="G364" s="1"/>
      <c r="H364" s="15"/>
      <c r="I364" s="15"/>
      <c r="J364">
        <f>Table2[[#This Row],[Cost unitar]]*Table2[[#This Row],[Stoc Depozit]]</f>
        <v>0</v>
      </c>
      <c r="K364" t="s">
        <v>869</v>
      </c>
    </row>
    <row r="365" spans="1:12" x14ac:dyDescent="0.25">
      <c r="A365" t="s">
        <v>650</v>
      </c>
      <c r="B365" t="s">
        <v>650</v>
      </c>
      <c r="C365" s="26" t="s">
        <v>633</v>
      </c>
      <c r="D365" s="22">
        <v>1</v>
      </c>
      <c r="E365" s="22">
        <v>0</v>
      </c>
      <c r="F365" s="1"/>
      <c r="G365" s="1"/>
      <c r="H365" s="15"/>
      <c r="I365" s="15"/>
      <c r="J365">
        <f>Table2[[#This Row],[Cost unitar]]*Table2[[#This Row],[Stoc Depozit]]</f>
        <v>0</v>
      </c>
      <c r="K365" t="s">
        <v>869</v>
      </c>
    </row>
    <row r="366" spans="1:12" x14ac:dyDescent="0.25">
      <c r="A366" t="s">
        <v>651</v>
      </c>
      <c r="B366" t="s">
        <v>651</v>
      </c>
      <c r="C366" s="26" t="s">
        <v>636</v>
      </c>
      <c r="D366" s="22">
        <v>1</v>
      </c>
      <c r="E366" s="22">
        <v>0</v>
      </c>
      <c r="F366" s="1"/>
      <c r="G366" s="1"/>
      <c r="H366" s="15"/>
      <c r="I366" s="15"/>
      <c r="J366">
        <f>Table2[[#This Row],[Cost unitar]]*Table2[[#This Row],[Stoc Depozit]]</f>
        <v>0</v>
      </c>
      <c r="K366" t="s">
        <v>869</v>
      </c>
    </row>
    <row r="367" spans="1:12" x14ac:dyDescent="0.25">
      <c r="A367" t="s">
        <v>652</v>
      </c>
      <c r="B367" t="s">
        <v>652</v>
      </c>
      <c r="C367" s="26" t="s">
        <v>637</v>
      </c>
      <c r="D367" s="22">
        <v>1</v>
      </c>
      <c r="E367" s="22">
        <v>0</v>
      </c>
      <c r="F367" s="1"/>
      <c r="G367" s="1"/>
      <c r="H367" s="15"/>
      <c r="I367" s="15"/>
      <c r="J367">
        <f>Table2[[#This Row],[Cost unitar]]*Table2[[#This Row],[Stoc Depozit]]</f>
        <v>0</v>
      </c>
      <c r="K367" t="s">
        <v>869</v>
      </c>
    </row>
    <row r="368" spans="1:12" x14ac:dyDescent="0.25">
      <c r="A368" t="s">
        <v>653</v>
      </c>
      <c r="B368" t="s">
        <v>653</v>
      </c>
      <c r="C368" s="26" t="s">
        <v>637</v>
      </c>
      <c r="D368" s="22">
        <v>1</v>
      </c>
      <c r="E368" s="22">
        <v>0</v>
      </c>
      <c r="F368" s="1"/>
      <c r="G368" s="1"/>
      <c r="H368" s="15"/>
      <c r="I368" s="15"/>
      <c r="J368">
        <f>Table2[[#This Row],[Cost unitar]]*Table2[[#This Row],[Stoc Depozit]]</f>
        <v>0</v>
      </c>
      <c r="K368" t="s">
        <v>869</v>
      </c>
    </row>
    <row r="369" spans="1:12" x14ac:dyDescent="0.25">
      <c r="A369" t="s">
        <v>654</v>
      </c>
      <c r="B369" t="s">
        <v>654</v>
      </c>
      <c r="C369" s="26" t="s">
        <v>638</v>
      </c>
      <c r="D369" s="22">
        <v>1</v>
      </c>
      <c r="E369" s="22">
        <v>0</v>
      </c>
      <c r="F369" s="1"/>
      <c r="G369" s="1"/>
      <c r="H369" s="15"/>
      <c r="I369" s="15"/>
      <c r="J369">
        <f>Table2[[#This Row],[Cost unitar]]*Table2[[#This Row],[Stoc Depozit]]</f>
        <v>0</v>
      </c>
      <c r="K369" t="s">
        <v>869</v>
      </c>
    </row>
    <row r="370" spans="1:12" x14ac:dyDescent="0.25">
      <c r="A370" t="s">
        <v>655</v>
      </c>
      <c r="B370" t="s">
        <v>655</v>
      </c>
      <c r="C370" s="26" t="s">
        <v>639</v>
      </c>
      <c r="D370" s="22">
        <v>1</v>
      </c>
      <c r="E370" s="22">
        <v>0</v>
      </c>
      <c r="F370" s="1"/>
      <c r="G370" s="1"/>
      <c r="H370" s="15"/>
      <c r="I370" s="15"/>
      <c r="J370">
        <f>Table2[[#This Row],[Cost unitar]]*Table2[[#This Row],[Stoc Depozit]]</f>
        <v>0</v>
      </c>
      <c r="K370" t="s">
        <v>869</v>
      </c>
    </row>
    <row r="371" spans="1:12" x14ac:dyDescent="0.25">
      <c r="A371" t="s">
        <v>640</v>
      </c>
      <c r="B371" t="s">
        <v>640</v>
      </c>
      <c r="C371" s="26" t="s">
        <v>833</v>
      </c>
      <c r="D371" s="22">
        <v>1</v>
      </c>
      <c r="E371" s="22">
        <v>0</v>
      </c>
      <c r="F371" s="1"/>
      <c r="G371" s="1"/>
      <c r="H371" s="15"/>
      <c r="I371" s="15"/>
      <c r="J371">
        <f>Table2[[#This Row],[Cost unitar]]*Table2[[#This Row],[Stoc Depozit]]</f>
        <v>0</v>
      </c>
      <c r="K371" t="s">
        <v>869</v>
      </c>
    </row>
    <row r="372" spans="1:12" x14ac:dyDescent="0.25">
      <c r="A372" t="s">
        <v>656</v>
      </c>
      <c r="B372" t="s">
        <v>656</v>
      </c>
      <c r="C372" s="26" t="s">
        <v>641</v>
      </c>
      <c r="D372" s="22">
        <v>1</v>
      </c>
      <c r="E372" s="22">
        <v>0</v>
      </c>
      <c r="F372" s="1"/>
      <c r="G372" s="1"/>
      <c r="H372" s="15"/>
      <c r="I372" s="15"/>
      <c r="J372">
        <f>Table2[[#This Row],[Cost unitar]]*Table2[[#This Row],[Stoc Depozit]]</f>
        <v>0</v>
      </c>
      <c r="K372" t="s">
        <v>869</v>
      </c>
    </row>
    <row r="373" spans="1:12" x14ac:dyDescent="0.25">
      <c r="A373" t="s">
        <v>657</v>
      </c>
      <c r="B373" t="s">
        <v>657</v>
      </c>
      <c r="C373" s="26" t="s">
        <v>642</v>
      </c>
      <c r="D373" s="22">
        <v>1</v>
      </c>
      <c r="E373" s="22">
        <v>0</v>
      </c>
      <c r="F373" s="1"/>
      <c r="G373" s="1"/>
      <c r="H373" s="15"/>
      <c r="I373" s="15"/>
      <c r="J373">
        <f>Table2[[#This Row],[Cost unitar]]*Table2[[#This Row],[Stoc Depozit]]</f>
        <v>0</v>
      </c>
      <c r="K373" t="s">
        <v>869</v>
      </c>
    </row>
    <row r="374" spans="1:12" x14ac:dyDescent="0.25">
      <c r="A374" t="s">
        <v>658</v>
      </c>
      <c r="B374" t="s">
        <v>658</v>
      </c>
      <c r="C374" s="26" t="s">
        <v>643</v>
      </c>
      <c r="D374" s="22">
        <v>1</v>
      </c>
      <c r="E374" s="22">
        <v>0</v>
      </c>
      <c r="F374" s="1"/>
      <c r="G374" s="1"/>
      <c r="H374" s="15"/>
      <c r="I374" s="15"/>
      <c r="J374">
        <f>Table2[[#This Row],[Cost unitar]]*Table2[[#This Row],[Stoc Depozit]]</f>
        <v>0</v>
      </c>
      <c r="K374" t="s">
        <v>869</v>
      </c>
    </row>
    <row r="375" spans="1:12" ht="15.75" thickBot="1" x14ac:dyDescent="0.3">
      <c r="A375" t="s">
        <v>659</v>
      </c>
      <c r="B375" t="s">
        <v>659</v>
      </c>
      <c r="C375" s="27" t="s">
        <v>644</v>
      </c>
      <c r="D375" s="22">
        <v>1</v>
      </c>
      <c r="E375" s="22">
        <v>0</v>
      </c>
      <c r="F375" s="1"/>
      <c r="G375" s="1"/>
      <c r="H375" s="15"/>
      <c r="I375" s="15"/>
      <c r="J375">
        <f>Table2[[#This Row],[Cost unitar]]*Table2[[#This Row],[Stoc Depozit]]</f>
        <v>0</v>
      </c>
      <c r="K375" t="s">
        <v>869</v>
      </c>
    </row>
    <row r="376" spans="1:12" x14ac:dyDescent="0.25">
      <c r="A376" t="s">
        <v>563</v>
      </c>
      <c r="B376" t="s">
        <v>563</v>
      </c>
      <c r="C376" s="45" t="s">
        <v>679</v>
      </c>
      <c r="D376" s="22">
        <v>0</v>
      </c>
      <c r="E376" s="22">
        <v>1</v>
      </c>
      <c r="F376" s="1"/>
      <c r="G376" s="1"/>
      <c r="H376" s="15"/>
      <c r="I376" s="15"/>
      <c r="J376">
        <f>Table2[[#This Row],[Cost unitar]]*Table2[[#This Row],[Stoc Depozit]]</f>
        <v>0</v>
      </c>
      <c r="K376" t="s">
        <v>43</v>
      </c>
      <c r="L376" t="s">
        <v>865</v>
      </c>
    </row>
    <row r="377" spans="1:12" x14ac:dyDescent="0.25">
      <c r="A377" t="s">
        <v>719</v>
      </c>
      <c r="B377" t="s">
        <v>719</v>
      </c>
      <c r="C377" s="46" t="s">
        <v>660</v>
      </c>
      <c r="D377" s="22">
        <v>0</v>
      </c>
      <c r="E377" s="22">
        <v>1</v>
      </c>
      <c r="F377" s="1"/>
      <c r="G377" s="1"/>
      <c r="H377" s="15"/>
      <c r="I377" s="15"/>
      <c r="J377">
        <f>Table2[[#This Row],[Cost unitar]]*Table2[[#This Row],[Stoc Depozit]]</f>
        <v>0</v>
      </c>
      <c r="K377" t="s">
        <v>43</v>
      </c>
      <c r="L377" t="s">
        <v>865</v>
      </c>
    </row>
    <row r="378" spans="1:12" x14ac:dyDescent="0.25">
      <c r="A378" t="s">
        <v>720</v>
      </c>
      <c r="B378" t="s">
        <v>720</v>
      </c>
      <c r="C378" s="46" t="s">
        <v>661</v>
      </c>
      <c r="D378" s="22">
        <v>0</v>
      </c>
      <c r="E378" s="22">
        <v>1</v>
      </c>
      <c r="F378" s="1"/>
      <c r="G378" s="1"/>
      <c r="H378" s="15"/>
      <c r="I378" s="15"/>
      <c r="J378">
        <f>Table2[[#This Row],[Cost unitar]]*Table2[[#This Row],[Stoc Depozit]]</f>
        <v>0</v>
      </c>
      <c r="K378" t="s">
        <v>43</v>
      </c>
      <c r="L378" t="s">
        <v>865</v>
      </c>
    </row>
    <row r="379" spans="1:12" x14ac:dyDescent="0.25">
      <c r="A379" t="s">
        <v>721</v>
      </c>
      <c r="B379" t="s">
        <v>721</v>
      </c>
      <c r="C379" s="46" t="s">
        <v>662</v>
      </c>
      <c r="D379" s="22">
        <v>0</v>
      </c>
      <c r="E379" s="22">
        <v>1</v>
      </c>
      <c r="F379" s="1"/>
      <c r="G379" s="1"/>
      <c r="H379" s="15"/>
      <c r="I379" s="15"/>
      <c r="J379">
        <f>Table2[[#This Row],[Cost unitar]]*Table2[[#This Row],[Stoc Depozit]]</f>
        <v>0</v>
      </c>
      <c r="K379" t="s">
        <v>43</v>
      </c>
      <c r="L379" t="s">
        <v>865</v>
      </c>
    </row>
    <row r="380" spans="1:12" x14ac:dyDescent="0.25">
      <c r="A380" t="s">
        <v>722</v>
      </c>
      <c r="B380" t="s">
        <v>722</v>
      </c>
      <c r="C380" s="46" t="s">
        <v>663</v>
      </c>
      <c r="D380" s="22">
        <v>0</v>
      </c>
      <c r="E380" s="22">
        <v>1</v>
      </c>
      <c r="F380" s="1"/>
      <c r="G380" s="1"/>
      <c r="H380" s="15"/>
      <c r="I380" s="15"/>
      <c r="J380">
        <f>Table2[[#This Row],[Cost unitar]]*Table2[[#This Row],[Stoc Depozit]]</f>
        <v>0</v>
      </c>
      <c r="K380" t="s">
        <v>43</v>
      </c>
      <c r="L380" t="s">
        <v>865</v>
      </c>
    </row>
    <row r="381" spans="1:12" x14ac:dyDescent="0.25">
      <c r="A381" t="s">
        <v>723</v>
      </c>
      <c r="B381" t="s">
        <v>723</v>
      </c>
      <c r="C381" s="46" t="s">
        <v>664</v>
      </c>
      <c r="D381" s="22">
        <v>0</v>
      </c>
      <c r="E381" s="22">
        <v>1</v>
      </c>
      <c r="F381" s="1"/>
      <c r="G381" s="1"/>
      <c r="H381" s="15"/>
      <c r="I381" s="15"/>
      <c r="J381">
        <f>Table2[[#This Row],[Cost unitar]]*Table2[[#This Row],[Stoc Depozit]]</f>
        <v>0</v>
      </c>
      <c r="K381" t="s">
        <v>43</v>
      </c>
      <c r="L381" t="s">
        <v>865</v>
      </c>
    </row>
    <row r="382" spans="1:12" x14ac:dyDescent="0.25">
      <c r="A382" t="s">
        <v>724</v>
      </c>
      <c r="B382" t="s">
        <v>724</v>
      </c>
      <c r="C382" s="46" t="s">
        <v>665</v>
      </c>
      <c r="D382" s="22">
        <v>0</v>
      </c>
      <c r="E382" s="22">
        <v>1</v>
      </c>
      <c r="F382" s="1"/>
      <c r="G382" s="1"/>
      <c r="H382" s="15"/>
      <c r="I382" s="15"/>
      <c r="J382">
        <f>Table2[[#This Row],[Cost unitar]]*Table2[[#This Row],[Stoc Depozit]]</f>
        <v>0</v>
      </c>
      <c r="K382" t="s">
        <v>43</v>
      </c>
      <c r="L382" t="s">
        <v>865</v>
      </c>
    </row>
    <row r="383" spans="1:12" x14ac:dyDescent="0.25">
      <c r="A383" t="s">
        <v>725</v>
      </c>
      <c r="B383" t="s">
        <v>725</v>
      </c>
      <c r="C383" s="46" t="s">
        <v>666</v>
      </c>
      <c r="D383" s="22">
        <v>0</v>
      </c>
      <c r="E383" s="22">
        <v>1</v>
      </c>
      <c r="F383" s="1"/>
      <c r="G383" s="1"/>
      <c r="H383" s="15"/>
      <c r="I383" s="15"/>
      <c r="J383">
        <f>Table2[[#This Row],[Cost unitar]]*Table2[[#This Row],[Stoc Depozit]]</f>
        <v>0</v>
      </c>
      <c r="K383" t="s">
        <v>43</v>
      </c>
      <c r="L383" t="s">
        <v>865</v>
      </c>
    </row>
    <row r="384" spans="1:12" x14ac:dyDescent="0.25">
      <c r="A384" t="s">
        <v>726</v>
      </c>
      <c r="B384" t="s">
        <v>726</v>
      </c>
      <c r="C384" s="46" t="s">
        <v>667</v>
      </c>
      <c r="D384" s="22">
        <v>0</v>
      </c>
      <c r="E384" s="22">
        <v>1</v>
      </c>
      <c r="F384" s="1"/>
      <c r="G384" s="1"/>
      <c r="H384" s="15"/>
      <c r="I384" s="15"/>
      <c r="J384">
        <f>Table2[[#This Row],[Cost unitar]]*Table2[[#This Row],[Stoc Depozit]]</f>
        <v>0</v>
      </c>
      <c r="K384" t="s">
        <v>43</v>
      </c>
      <c r="L384" t="s">
        <v>865</v>
      </c>
    </row>
    <row r="385" spans="1:12" x14ac:dyDescent="0.25">
      <c r="A385" t="s">
        <v>727</v>
      </c>
      <c r="B385" t="s">
        <v>727</v>
      </c>
      <c r="C385" s="46" t="s">
        <v>668</v>
      </c>
      <c r="D385" s="22">
        <v>0</v>
      </c>
      <c r="E385" s="22">
        <v>1</v>
      </c>
      <c r="F385" s="1"/>
      <c r="G385" s="1"/>
      <c r="H385" s="15"/>
      <c r="I385" s="15"/>
      <c r="J385">
        <f>Table2[[#This Row],[Cost unitar]]*Table2[[#This Row],[Stoc Depozit]]</f>
        <v>0</v>
      </c>
      <c r="K385" t="s">
        <v>43</v>
      </c>
      <c r="L385" t="s">
        <v>865</v>
      </c>
    </row>
    <row r="386" spans="1:12" x14ac:dyDescent="0.25">
      <c r="A386" t="s">
        <v>728</v>
      </c>
      <c r="B386" t="s">
        <v>728</v>
      </c>
      <c r="C386" s="46" t="s">
        <v>669</v>
      </c>
      <c r="D386" s="22">
        <v>0</v>
      </c>
      <c r="E386" s="22">
        <v>1</v>
      </c>
      <c r="F386" s="1"/>
      <c r="G386" s="1"/>
      <c r="H386" s="15"/>
      <c r="I386" s="15"/>
      <c r="J386">
        <f>Table2[[#This Row],[Cost unitar]]*Table2[[#This Row],[Stoc Depozit]]</f>
        <v>0</v>
      </c>
      <c r="K386" t="s">
        <v>43</v>
      </c>
      <c r="L386" t="s">
        <v>865</v>
      </c>
    </row>
    <row r="387" spans="1:12" x14ac:dyDescent="0.25">
      <c r="A387" t="s">
        <v>729</v>
      </c>
      <c r="B387" t="s">
        <v>729</v>
      </c>
      <c r="C387" s="46" t="s">
        <v>670</v>
      </c>
      <c r="D387" s="22">
        <v>0</v>
      </c>
      <c r="E387" s="22">
        <v>1</v>
      </c>
      <c r="F387" s="1"/>
      <c r="G387" s="1"/>
      <c r="H387" s="15"/>
      <c r="I387" s="15"/>
      <c r="J387">
        <f>Table2[[#This Row],[Cost unitar]]*Table2[[#This Row],[Stoc Depozit]]</f>
        <v>0</v>
      </c>
      <c r="K387" t="s">
        <v>43</v>
      </c>
      <c r="L387" t="s">
        <v>865</v>
      </c>
    </row>
    <row r="388" spans="1:12" x14ac:dyDescent="0.25">
      <c r="A388" t="s">
        <v>730</v>
      </c>
      <c r="B388" t="s">
        <v>730</v>
      </c>
      <c r="C388" s="46" t="s">
        <v>671</v>
      </c>
      <c r="D388" s="22">
        <v>0</v>
      </c>
      <c r="E388" s="22">
        <v>1</v>
      </c>
      <c r="F388" s="1"/>
      <c r="G388" s="1"/>
      <c r="H388" s="15"/>
      <c r="I388" s="15"/>
      <c r="J388">
        <f>Table2[[#This Row],[Cost unitar]]*Table2[[#This Row],[Stoc Depozit]]</f>
        <v>0</v>
      </c>
      <c r="K388" t="s">
        <v>43</v>
      </c>
      <c r="L388" t="s">
        <v>865</v>
      </c>
    </row>
    <row r="389" spans="1:12" x14ac:dyDescent="0.25">
      <c r="A389" t="s">
        <v>731</v>
      </c>
      <c r="B389" t="s">
        <v>731</v>
      </c>
      <c r="C389" s="46" t="s">
        <v>672</v>
      </c>
      <c r="D389" s="22">
        <v>0</v>
      </c>
      <c r="E389" s="22">
        <v>1</v>
      </c>
      <c r="F389" s="1"/>
      <c r="G389" s="1"/>
      <c r="H389" s="15"/>
      <c r="I389" s="15"/>
      <c r="J389">
        <f>Table2[[#This Row],[Cost unitar]]*Table2[[#This Row],[Stoc Depozit]]</f>
        <v>0</v>
      </c>
      <c r="K389" t="s">
        <v>43</v>
      </c>
      <c r="L389" t="s">
        <v>865</v>
      </c>
    </row>
    <row r="390" spans="1:12" x14ac:dyDescent="0.25">
      <c r="A390" t="s">
        <v>732</v>
      </c>
      <c r="B390" t="s">
        <v>732</v>
      </c>
      <c r="C390" s="46" t="s">
        <v>673</v>
      </c>
      <c r="D390" s="22">
        <v>0</v>
      </c>
      <c r="E390" s="22">
        <v>1</v>
      </c>
      <c r="F390" s="1"/>
      <c r="G390" s="1"/>
      <c r="H390" s="15"/>
      <c r="I390" s="15"/>
      <c r="J390">
        <f>Table2[[#This Row],[Cost unitar]]*Table2[[#This Row],[Stoc Depozit]]</f>
        <v>0</v>
      </c>
      <c r="K390" t="s">
        <v>43</v>
      </c>
      <c r="L390" t="s">
        <v>865</v>
      </c>
    </row>
    <row r="391" spans="1:12" x14ac:dyDescent="0.25">
      <c r="A391" t="s">
        <v>733</v>
      </c>
      <c r="B391" t="s">
        <v>733</v>
      </c>
      <c r="C391" s="46" t="s">
        <v>674</v>
      </c>
      <c r="D391" s="22">
        <v>0</v>
      </c>
      <c r="E391" s="22">
        <v>1</v>
      </c>
      <c r="F391" s="1"/>
      <c r="G391" s="1"/>
      <c r="H391" s="15"/>
      <c r="I391" s="15"/>
      <c r="J391">
        <f>Table2[[#This Row],[Cost unitar]]*Table2[[#This Row],[Stoc Depozit]]</f>
        <v>0</v>
      </c>
      <c r="K391" t="s">
        <v>43</v>
      </c>
      <c r="L391" t="s">
        <v>865</v>
      </c>
    </row>
    <row r="392" spans="1:12" x14ac:dyDescent="0.25">
      <c r="A392" t="s">
        <v>734</v>
      </c>
      <c r="B392" t="s">
        <v>734</v>
      </c>
      <c r="C392" s="46" t="s">
        <v>675</v>
      </c>
      <c r="D392" s="22">
        <v>0</v>
      </c>
      <c r="E392" s="22">
        <v>1</v>
      </c>
      <c r="F392" s="1"/>
      <c r="G392" s="1"/>
      <c r="H392" s="15"/>
      <c r="I392" s="15"/>
      <c r="J392">
        <f>Table2[[#This Row],[Cost unitar]]*Table2[[#This Row],[Stoc Depozit]]</f>
        <v>0</v>
      </c>
      <c r="K392" t="s">
        <v>43</v>
      </c>
      <c r="L392" t="s">
        <v>865</v>
      </c>
    </row>
    <row r="393" spans="1:12" x14ac:dyDescent="0.25">
      <c r="A393" t="s">
        <v>735</v>
      </c>
      <c r="B393" t="s">
        <v>735</v>
      </c>
      <c r="C393" s="46" t="s">
        <v>676</v>
      </c>
      <c r="D393" s="22">
        <v>0</v>
      </c>
      <c r="E393" s="22">
        <v>1</v>
      </c>
      <c r="F393" s="1"/>
      <c r="G393" s="1"/>
      <c r="H393" s="15"/>
      <c r="I393" s="15"/>
      <c r="J393">
        <f>Table2[[#This Row],[Cost unitar]]*Table2[[#This Row],[Stoc Depozit]]</f>
        <v>0</v>
      </c>
      <c r="K393" t="s">
        <v>43</v>
      </c>
      <c r="L393" t="s">
        <v>865</v>
      </c>
    </row>
    <row r="394" spans="1:12" x14ac:dyDescent="0.25">
      <c r="A394" t="s">
        <v>736</v>
      </c>
      <c r="B394" t="s">
        <v>736</v>
      </c>
      <c r="C394" s="46" t="s">
        <v>677</v>
      </c>
      <c r="D394" s="22">
        <v>0</v>
      </c>
      <c r="E394" s="22">
        <v>1</v>
      </c>
      <c r="F394" s="1"/>
      <c r="G394" s="1"/>
      <c r="H394" s="15"/>
      <c r="I394" s="15"/>
      <c r="J394">
        <f>Table2[[#This Row],[Cost unitar]]*Table2[[#This Row],[Stoc Depozit]]</f>
        <v>0</v>
      </c>
      <c r="K394" t="s">
        <v>43</v>
      </c>
      <c r="L394" t="s">
        <v>865</v>
      </c>
    </row>
    <row r="395" spans="1:12" ht="15.75" thickBot="1" x14ac:dyDescent="0.3">
      <c r="A395" t="s">
        <v>737</v>
      </c>
      <c r="B395" t="s">
        <v>737</v>
      </c>
      <c r="C395" s="47" t="s">
        <v>678</v>
      </c>
      <c r="D395" s="22">
        <v>0</v>
      </c>
      <c r="E395" s="22">
        <v>1</v>
      </c>
      <c r="F395" s="1"/>
      <c r="G395" s="1"/>
      <c r="H395" s="15"/>
      <c r="I395" s="15"/>
      <c r="J395">
        <f>Table2[[#This Row],[Cost unitar]]*Table2[[#This Row],[Stoc Depozit]]</f>
        <v>0</v>
      </c>
      <c r="K395" t="s">
        <v>43</v>
      </c>
      <c r="L395" t="s">
        <v>865</v>
      </c>
    </row>
    <row r="396" spans="1:12" x14ac:dyDescent="0.25">
      <c r="A396" t="s">
        <v>564</v>
      </c>
      <c r="B396" t="s">
        <v>564</v>
      </c>
      <c r="C396" s="29" t="s">
        <v>777</v>
      </c>
      <c r="D396" s="22">
        <v>0</v>
      </c>
      <c r="E396" s="22">
        <v>1</v>
      </c>
      <c r="F396" s="1"/>
      <c r="G396" s="1"/>
      <c r="H396" s="15"/>
      <c r="I396" s="15"/>
      <c r="J396">
        <f>Table2[[#This Row],[Cost unitar]]*Table2[[#This Row],[Stoc Depozit]]</f>
        <v>0</v>
      </c>
      <c r="K396" t="s">
        <v>866</v>
      </c>
      <c r="L396" t="s">
        <v>863</v>
      </c>
    </row>
    <row r="397" spans="1:12" x14ac:dyDescent="0.25">
      <c r="A397" t="s">
        <v>886</v>
      </c>
      <c r="B397" t="s">
        <v>886</v>
      </c>
      <c r="C397" s="30" t="s">
        <v>766</v>
      </c>
      <c r="D397" s="22">
        <v>0</v>
      </c>
      <c r="E397" s="22">
        <v>1</v>
      </c>
      <c r="F397" s="1"/>
      <c r="G397" s="1"/>
      <c r="H397" s="15"/>
      <c r="I397" s="15"/>
      <c r="J397">
        <f>Table2[[#This Row],[Cost unitar]]*Table2[[#This Row],[Stoc Depozit]]</f>
        <v>0</v>
      </c>
      <c r="K397" t="s">
        <v>866</v>
      </c>
      <c r="L397" t="s">
        <v>863</v>
      </c>
    </row>
    <row r="398" spans="1:12" x14ac:dyDescent="0.25">
      <c r="A398" t="s">
        <v>887</v>
      </c>
      <c r="B398" t="s">
        <v>887</v>
      </c>
      <c r="C398" s="30" t="s">
        <v>767</v>
      </c>
      <c r="D398" s="22">
        <v>0</v>
      </c>
      <c r="E398" s="22">
        <v>1</v>
      </c>
      <c r="F398" s="1"/>
      <c r="G398" s="1"/>
      <c r="H398" s="15"/>
      <c r="I398" s="15"/>
      <c r="J398">
        <f>Table2[[#This Row],[Cost unitar]]*Table2[[#This Row],[Stoc Depozit]]</f>
        <v>0</v>
      </c>
      <c r="K398" t="s">
        <v>866</v>
      </c>
      <c r="L398" t="s">
        <v>863</v>
      </c>
    </row>
    <row r="399" spans="1:12" x14ac:dyDescent="0.25">
      <c r="A399" t="s">
        <v>888</v>
      </c>
      <c r="B399" t="s">
        <v>888</v>
      </c>
      <c r="C399" s="30" t="s">
        <v>767</v>
      </c>
      <c r="D399" s="22">
        <v>0</v>
      </c>
      <c r="E399" s="22">
        <v>1</v>
      </c>
      <c r="F399" s="1"/>
      <c r="G399" s="1"/>
      <c r="H399" s="15"/>
      <c r="I399" s="15"/>
      <c r="J399">
        <f>Table2[[#This Row],[Cost unitar]]*Table2[[#This Row],[Stoc Depozit]]</f>
        <v>0</v>
      </c>
      <c r="K399" t="s">
        <v>866</v>
      </c>
      <c r="L399" t="s">
        <v>863</v>
      </c>
    </row>
    <row r="400" spans="1:12" x14ac:dyDescent="0.25">
      <c r="A400" t="s">
        <v>889</v>
      </c>
      <c r="B400" t="s">
        <v>889</v>
      </c>
      <c r="C400" s="30" t="s">
        <v>768</v>
      </c>
      <c r="D400" s="22">
        <v>0</v>
      </c>
      <c r="E400" s="22">
        <v>1</v>
      </c>
      <c r="F400" s="1"/>
      <c r="G400" s="1"/>
      <c r="H400" s="15"/>
      <c r="I400" s="15"/>
      <c r="J400">
        <f>Table2[[#This Row],[Cost unitar]]*Table2[[#This Row],[Stoc Depozit]]</f>
        <v>0</v>
      </c>
      <c r="K400" t="s">
        <v>866</v>
      </c>
      <c r="L400" t="s">
        <v>863</v>
      </c>
    </row>
    <row r="401" spans="1:12" x14ac:dyDescent="0.25">
      <c r="A401" t="s">
        <v>890</v>
      </c>
      <c r="B401" t="s">
        <v>890</v>
      </c>
      <c r="C401" s="30" t="s">
        <v>637</v>
      </c>
      <c r="D401" s="22">
        <v>0</v>
      </c>
      <c r="E401" s="22">
        <v>1</v>
      </c>
      <c r="F401" s="1"/>
      <c r="G401" s="1"/>
      <c r="H401" s="15"/>
      <c r="I401" s="15"/>
      <c r="J401">
        <f>Table2[[#This Row],[Cost unitar]]*Table2[[#This Row],[Stoc Depozit]]</f>
        <v>0</v>
      </c>
      <c r="K401" t="s">
        <v>866</v>
      </c>
      <c r="L401" t="s">
        <v>863</v>
      </c>
    </row>
    <row r="402" spans="1:12" x14ac:dyDescent="0.25">
      <c r="A402" t="s">
        <v>891</v>
      </c>
      <c r="B402" t="s">
        <v>891</v>
      </c>
      <c r="C402" s="30" t="s">
        <v>637</v>
      </c>
      <c r="D402" s="22">
        <v>0</v>
      </c>
      <c r="E402" s="22">
        <v>1</v>
      </c>
      <c r="F402" s="1"/>
      <c r="G402" s="1"/>
      <c r="H402" s="15"/>
      <c r="I402" s="15"/>
      <c r="J402">
        <f>Table2[[#This Row],[Cost unitar]]*Table2[[#This Row],[Stoc Depozit]]</f>
        <v>0</v>
      </c>
      <c r="K402" t="s">
        <v>866</v>
      </c>
      <c r="L402" t="s">
        <v>863</v>
      </c>
    </row>
    <row r="403" spans="1:12" x14ac:dyDescent="0.25">
      <c r="A403" t="s">
        <v>892</v>
      </c>
      <c r="B403" t="s">
        <v>892</v>
      </c>
      <c r="C403" s="30" t="s">
        <v>631</v>
      </c>
      <c r="D403" s="22">
        <v>0</v>
      </c>
      <c r="E403" s="22">
        <v>1</v>
      </c>
      <c r="F403" s="1"/>
      <c r="G403" s="1"/>
      <c r="H403" s="15"/>
      <c r="I403" s="15"/>
      <c r="J403">
        <f>Table2[[#This Row],[Cost unitar]]*Table2[[#This Row],[Stoc Depozit]]</f>
        <v>0</v>
      </c>
      <c r="K403" t="s">
        <v>866</v>
      </c>
      <c r="L403" t="s">
        <v>863</v>
      </c>
    </row>
    <row r="404" spans="1:12" x14ac:dyDescent="0.25">
      <c r="A404" t="s">
        <v>893</v>
      </c>
      <c r="B404" t="s">
        <v>893</v>
      </c>
      <c r="C404" s="30" t="s">
        <v>769</v>
      </c>
      <c r="D404" s="22">
        <v>0</v>
      </c>
      <c r="E404" s="22">
        <v>1</v>
      </c>
      <c r="F404" s="1"/>
      <c r="G404" s="1"/>
      <c r="H404" s="15"/>
      <c r="I404" s="15"/>
      <c r="J404">
        <f>Table2[[#This Row],[Cost unitar]]*Table2[[#This Row],[Stoc Depozit]]</f>
        <v>0</v>
      </c>
      <c r="K404" t="s">
        <v>866</v>
      </c>
      <c r="L404" t="s">
        <v>863</v>
      </c>
    </row>
    <row r="405" spans="1:12" x14ac:dyDescent="0.25">
      <c r="A405" t="s">
        <v>894</v>
      </c>
      <c r="B405" t="s">
        <v>894</v>
      </c>
      <c r="C405" s="30" t="s">
        <v>770</v>
      </c>
      <c r="D405" s="22">
        <v>0</v>
      </c>
      <c r="E405" s="22">
        <v>1</v>
      </c>
      <c r="F405" s="1"/>
      <c r="G405" s="1"/>
      <c r="H405" s="15"/>
      <c r="I405" s="15"/>
      <c r="J405">
        <f>Table2[[#This Row],[Cost unitar]]*Table2[[#This Row],[Stoc Depozit]]</f>
        <v>0</v>
      </c>
      <c r="K405" t="s">
        <v>866</v>
      </c>
      <c r="L405" t="s">
        <v>863</v>
      </c>
    </row>
    <row r="406" spans="1:12" x14ac:dyDescent="0.25">
      <c r="A406" t="s">
        <v>895</v>
      </c>
      <c r="B406" t="s">
        <v>895</v>
      </c>
      <c r="C406" s="30" t="s">
        <v>776</v>
      </c>
      <c r="D406" s="22">
        <v>0</v>
      </c>
      <c r="E406" s="22">
        <v>1</v>
      </c>
      <c r="F406" s="1"/>
      <c r="G406" s="1"/>
      <c r="H406" s="15"/>
      <c r="I406" s="15"/>
      <c r="J406">
        <f>Table2[[#This Row],[Cost unitar]]*Table2[[#This Row],[Stoc Depozit]]</f>
        <v>0</v>
      </c>
      <c r="K406" t="s">
        <v>866</v>
      </c>
      <c r="L406" t="s">
        <v>863</v>
      </c>
    </row>
    <row r="407" spans="1:12" x14ac:dyDescent="0.25">
      <c r="A407" t="s">
        <v>896</v>
      </c>
      <c r="B407" t="s">
        <v>896</v>
      </c>
      <c r="C407" s="30" t="s">
        <v>771</v>
      </c>
      <c r="D407" s="22">
        <v>0</v>
      </c>
      <c r="E407" s="22">
        <v>1</v>
      </c>
      <c r="F407" s="1"/>
      <c r="G407" s="1"/>
      <c r="H407" s="15"/>
      <c r="I407" s="15"/>
      <c r="J407">
        <f>Table2[[#This Row],[Cost unitar]]*Table2[[#This Row],[Stoc Depozit]]</f>
        <v>0</v>
      </c>
      <c r="K407" t="s">
        <v>866</v>
      </c>
      <c r="L407" t="s">
        <v>863</v>
      </c>
    </row>
    <row r="408" spans="1:12" x14ac:dyDescent="0.25">
      <c r="A408" t="s">
        <v>897</v>
      </c>
      <c r="B408" t="s">
        <v>897</v>
      </c>
      <c r="C408" s="30" t="s">
        <v>772</v>
      </c>
      <c r="D408" s="22">
        <v>0</v>
      </c>
      <c r="E408" s="22">
        <v>1</v>
      </c>
      <c r="F408" s="1"/>
      <c r="G408" s="1"/>
      <c r="H408" s="15"/>
      <c r="I408" s="15"/>
      <c r="J408">
        <f>Table2[[#This Row],[Cost unitar]]*Table2[[#This Row],[Stoc Depozit]]</f>
        <v>0</v>
      </c>
      <c r="K408" t="s">
        <v>866</v>
      </c>
      <c r="L408" t="s">
        <v>863</v>
      </c>
    </row>
    <row r="409" spans="1:12" x14ac:dyDescent="0.25">
      <c r="A409" t="s">
        <v>898</v>
      </c>
      <c r="B409" t="s">
        <v>898</v>
      </c>
      <c r="C409" s="30" t="s">
        <v>773</v>
      </c>
      <c r="D409" s="22">
        <v>0</v>
      </c>
      <c r="E409" s="22">
        <v>1</v>
      </c>
      <c r="F409" s="1"/>
      <c r="G409" s="1"/>
      <c r="H409" s="15"/>
      <c r="I409" s="15"/>
      <c r="J409">
        <f>Table2[[#This Row],[Cost unitar]]*Table2[[#This Row],[Stoc Depozit]]</f>
        <v>0</v>
      </c>
      <c r="K409" t="s">
        <v>866</v>
      </c>
      <c r="L409" t="s">
        <v>863</v>
      </c>
    </row>
    <row r="410" spans="1:12" x14ac:dyDescent="0.25">
      <c r="A410" t="s">
        <v>899</v>
      </c>
      <c r="B410" t="s">
        <v>899</v>
      </c>
      <c r="C410" s="30" t="s">
        <v>774</v>
      </c>
      <c r="D410" s="22">
        <v>0</v>
      </c>
      <c r="E410" s="22">
        <v>1</v>
      </c>
      <c r="F410" s="1"/>
      <c r="G410" s="1"/>
      <c r="H410" s="15"/>
      <c r="I410" s="15"/>
      <c r="J410">
        <f>Table2[[#This Row],[Cost unitar]]*Table2[[#This Row],[Stoc Depozit]]</f>
        <v>0</v>
      </c>
      <c r="K410" t="s">
        <v>866</v>
      </c>
      <c r="L410" t="s">
        <v>863</v>
      </c>
    </row>
    <row r="411" spans="1:12" x14ac:dyDescent="0.25">
      <c r="A411" t="s">
        <v>900</v>
      </c>
      <c r="B411" t="s">
        <v>900</v>
      </c>
      <c r="C411" s="30" t="s">
        <v>775</v>
      </c>
      <c r="D411" s="22">
        <v>0</v>
      </c>
      <c r="E411" s="22">
        <v>1</v>
      </c>
      <c r="F411" s="1"/>
      <c r="G411" s="1"/>
      <c r="H411" s="15"/>
      <c r="I411" s="15"/>
      <c r="J411">
        <f>Table2[[#This Row],[Cost unitar]]*Table2[[#This Row],[Stoc Depozit]]</f>
        <v>0</v>
      </c>
      <c r="K411" t="s">
        <v>866</v>
      </c>
      <c r="L411" t="s">
        <v>863</v>
      </c>
    </row>
    <row r="412" spans="1:12" ht="15.75" thickBot="1" x14ac:dyDescent="0.3">
      <c r="A412" t="s">
        <v>901</v>
      </c>
      <c r="B412" t="s">
        <v>901</v>
      </c>
      <c r="C412" s="31" t="s">
        <v>631</v>
      </c>
      <c r="D412" s="22">
        <v>0</v>
      </c>
      <c r="E412" s="22">
        <v>1</v>
      </c>
      <c r="F412" s="1"/>
      <c r="G412" s="1"/>
      <c r="H412" s="15"/>
      <c r="I412" s="15"/>
      <c r="J412">
        <f>Table2[[#This Row],[Cost unitar]]*Table2[[#This Row],[Stoc Depozit]]</f>
        <v>0</v>
      </c>
      <c r="K412" t="s">
        <v>866</v>
      </c>
      <c r="L412" t="s">
        <v>863</v>
      </c>
    </row>
    <row r="413" spans="1:12" x14ac:dyDescent="0.25">
      <c r="A413" s="6" t="s">
        <v>565</v>
      </c>
      <c r="B413" t="s">
        <v>565</v>
      </c>
      <c r="C413" s="48" t="s">
        <v>751</v>
      </c>
      <c r="D413" s="22">
        <v>0</v>
      </c>
      <c r="E413" s="22">
        <v>1</v>
      </c>
      <c r="F413" s="1"/>
      <c r="G413" s="1"/>
      <c r="H413" s="15"/>
      <c r="I413" s="15"/>
      <c r="J413">
        <f>Table2[[#This Row],[Cost unitar]]*Table2[[#This Row],[Stoc Depozit]]</f>
        <v>0</v>
      </c>
      <c r="K413" t="s">
        <v>866</v>
      </c>
      <c r="L413" t="s">
        <v>864</v>
      </c>
    </row>
    <row r="414" spans="1:12" x14ac:dyDescent="0.25">
      <c r="A414" s="6" t="s">
        <v>783</v>
      </c>
      <c r="B414" t="s">
        <v>783</v>
      </c>
      <c r="C414" s="48" t="s">
        <v>738</v>
      </c>
      <c r="D414" s="22">
        <v>0</v>
      </c>
      <c r="E414" s="22">
        <v>1</v>
      </c>
      <c r="F414" s="1"/>
      <c r="G414" s="1"/>
      <c r="H414" s="15"/>
      <c r="I414" s="15"/>
      <c r="J414">
        <f>Table2[[#This Row],[Cost unitar]]*Table2[[#This Row],[Stoc Depozit]]</f>
        <v>0</v>
      </c>
      <c r="K414" t="s">
        <v>866</v>
      </c>
      <c r="L414" t="s">
        <v>864</v>
      </c>
    </row>
    <row r="415" spans="1:12" x14ac:dyDescent="0.25">
      <c r="A415" s="6" t="s">
        <v>784</v>
      </c>
      <c r="B415" t="s">
        <v>784</v>
      </c>
      <c r="C415" s="48" t="s">
        <v>739</v>
      </c>
      <c r="D415" s="22">
        <v>0</v>
      </c>
      <c r="E415" s="22">
        <v>1</v>
      </c>
      <c r="F415" s="1"/>
      <c r="G415" s="1"/>
      <c r="H415" s="15"/>
      <c r="I415" s="15"/>
      <c r="J415">
        <f>Table2[[#This Row],[Cost unitar]]*Table2[[#This Row],[Stoc Depozit]]</f>
        <v>0</v>
      </c>
      <c r="K415" t="s">
        <v>866</v>
      </c>
      <c r="L415" t="s">
        <v>864</v>
      </c>
    </row>
    <row r="416" spans="1:12" x14ac:dyDescent="0.25">
      <c r="A416" s="6" t="s">
        <v>785</v>
      </c>
      <c r="B416" t="s">
        <v>785</v>
      </c>
      <c r="C416" s="48" t="s">
        <v>740</v>
      </c>
      <c r="D416" s="22">
        <v>0</v>
      </c>
      <c r="E416" s="22">
        <v>1</v>
      </c>
      <c r="F416" s="1"/>
      <c r="G416" s="1"/>
      <c r="H416" s="15"/>
      <c r="I416" s="15"/>
      <c r="J416">
        <f>Table2[[#This Row],[Cost unitar]]*Table2[[#This Row],[Stoc Depozit]]</f>
        <v>0</v>
      </c>
      <c r="K416" t="s">
        <v>866</v>
      </c>
      <c r="L416" t="s">
        <v>864</v>
      </c>
    </row>
    <row r="417" spans="1:12" x14ac:dyDescent="0.25">
      <c r="A417" s="6" t="s">
        <v>786</v>
      </c>
      <c r="B417" t="s">
        <v>786</v>
      </c>
      <c r="C417" s="48" t="s">
        <v>741</v>
      </c>
      <c r="D417" s="22">
        <v>0</v>
      </c>
      <c r="E417" s="22">
        <v>1</v>
      </c>
      <c r="F417" s="1"/>
      <c r="G417" s="1"/>
      <c r="H417" s="15"/>
      <c r="I417" s="15"/>
      <c r="J417">
        <f>Table2[[#This Row],[Cost unitar]]*Table2[[#This Row],[Stoc Depozit]]</f>
        <v>0</v>
      </c>
      <c r="K417" t="s">
        <v>866</v>
      </c>
      <c r="L417" t="s">
        <v>864</v>
      </c>
    </row>
    <row r="418" spans="1:12" x14ac:dyDescent="0.25">
      <c r="A418" s="6" t="s">
        <v>787</v>
      </c>
      <c r="B418" t="s">
        <v>787</v>
      </c>
      <c r="C418" s="48" t="s">
        <v>742</v>
      </c>
      <c r="D418" s="22">
        <v>0</v>
      </c>
      <c r="E418" s="22">
        <v>1</v>
      </c>
      <c r="F418" s="1"/>
      <c r="G418" s="1"/>
      <c r="H418" s="15"/>
      <c r="I418" s="15"/>
      <c r="J418">
        <f>Table2[[#This Row],[Cost unitar]]*Table2[[#This Row],[Stoc Depozit]]</f>
        <v>0</v>
      </c>
      <c r="K418" t="s">
        <v>866</v>
      </c>
      <c r="L418" t="s">
        <v>864</v>
      </c>
    </row>
    <row r="419" spans="1:12" x14ac:dyDescent="0.25">
      <c r="A419" s="6" t="s">
        <v>788</v>
      </c>
      <c r="B419" t="s">
        <v>788</v>
      </c>
      <c r="C419" s="48" t="s">
        <v>743</v>
      </c>
      <c r="D419" s="22">
        <v>0</v>
      </c>
      <c r="E419" s="22">
        <v>1</v>
      </c>
      <c r="F419" s="1"/>
      <c r="G419" s="1"/>
      <c r="H419" s="15"/>
      <c r="I419" s="15"/>
      <c r="J419">
        <f>Table2[[#This Row],[Cost unitar]]*Table2[[#This Row],[Stoc Depozit]]</f>
        <v>0</v>
      </c>
      <c r="K419" t="s">
        <v>866</v>
      </c>
      <c r="L419" t="s">
        <v>864</v>
      </c>
    </row>
    <row r="420" spans="1:12" x14ac:dyDescent="0.25">
      <c r="A420" s="6" t="s">
        <v>789</v>
      </c>
      <c r="B420" t="s">
        <v>789</v>
      </c>
      <c r="C420" s="48" t="s">
        <v>744</v>
      </c>
      <c r="D420" s="22">
        <v>0</v>
      </c>
      <c r="E420" s="22">
        <v>1</v>
      </c>
      <c r="F420" s="1"/>
      <c r="G420" s="1"/>
      <c r="H420" s="15"/>
      <c r="I420" s="15"/>
      <c r="J420">
        <f>Table2[[#This Row],[Cost unitar]]*Table2[[#This Row],[Stoc Depozit]]</f>
        <v>0</v>
      </c>
      <c r="K420" t="s">
        <v>866</v>
      </c>
      <c r="L420" t="s">
        <v>864</v>
      </c>
    </row>
    <row r="421" spans="1:12" x14ac:dyDescent="0.25">
      <c r="A421" s="6" t="s">
        <v>790</v>
      </c>
      <c r="B421" t="s">
        <v>790</v>
      </c>
      <c r="C421" s="48" t="s">
        <v>745</v>
      </c>
      <c r="D421" s="22">
        <v>0</v>
      </c>
      <c r="E421" s="22">
        <v>1</v>
      </c>
      <c r="F421" s="1"/>
      <c r="G421" s="1"/>
      <c r="H421" s="15"/>
      <c r="I421" s="15"/>
      <c r="J421">
        <f>Table2[[#This Row],[Cost unitar]]*Table2[[#This Row],[Stoc Depozit]]</f>
        <v>0</v>
      </c>
      <c r="K421" t="s">
        <v>866</v>
      </c>
      <c r="L421" t="s">
        <v>864</v>
      </c>
    </row>
    <row r="422" spans="1:12" x14ac:dyDescent="0.25">
      <c r="A422" s="6" t="s">
        <v>791</v>
      </c>
      <c r="B422" t="s">
        <v>791</v>
      </c>
      <c r="C422" s="48" t="s">
        <v>631</v>
      </c>
      <c r="D422" s="22">
        <v>0</v>
      </c>
      <c r="E422" s="22">
        <v>1</v>
      </c>
      <c r="F422" s="1"/>
      <c r="G422" s="1"/>
      <c r="H422" s="15"/>
      <c r="I422" s="15"/>
      <c r="J422">
        <f>Table2[[#This Row],[Cost unitar]]*Table2[[#This Row],[Stoc Depozit]]</f>
        <v>0</v>
      </c>
      <c r="K422" t="s">
        <v>866</v>
      </c>
      <c r="L422" t="s">
        <v>864</v>
      </c>
    </row>
    <row r="423" spans="1:12" x14ac:dyDescent="0.25">
      <c r="A423" s="6" t="s">
        <v>792</v>
      </c>
      <c r="B423" t="s">
        <v>792</v>
      </c>
      <c r="C423" s="48" t="s">
        <v>746</v>
      </c>
      <c r="D423" s="22">
        <v>0</v>
      </c>
      <c r="E423" s="22">
        <v>1</v>
      </c>
      <c r="F423" s="1"/>
      <c r="G423" s="1"/>
      <c r="H423" s="15"/>
      <c r="I423" s="15"/>
      <c r="J423">
        <f>Table2[[#This Row],[Cost unitar]]*Table2[[#This Row],[Stoc Depozit]]</f>
        <v>0</v>
      </c>
      <c r="K423" t="s">
        <v>866</v>
      </c>
      <c r="L423" t="s">
        <v>864</v>
      </c>
    </row>
    <row r="424" spans="1:12" x14ac:dyDescent="0.25">
      <c r="A424" s="6" t="s">
        <v>793</v>
      </c>
      <c r="B424" t="s">
        <v>793</v>
      </c>
      <c r="C424" s="48" t="s">
        <v>747</v>
      </c>
      <c r="D424" s="22">
        <v>0</v>
      </c>
      <c r="E424" s="22">
        <v>1</v>
      </c>
      <c r="F424" s="1"/>
      <c r="G424" s="1"/>
      <c r="H424" s="15"/>
      <c r="I424" s="15"/>
      <c r="J424">
        <f>Table2[[#This Row],[Cost unitar]]*Table2[[#This Row],[Stoc Depozit]]</f>
        <v>0</v>
      </c>
      <c r="K424" t="s">
        <v>866</v>
      </c>
      <c r="L424" t="s">
        <v>864</v>
      </c>
    </row>
    <row r="425" spans="1:12" x14ac:dyDescent="0.25">
      <c r="A425" s="6" t="s">
        <v>794</v>
      </c>
      <c r="B425" t="s">
        <v>794</v>
      </c>
      <c r="C425" s="48" t="s">
        <v>748</v>
      </c>
      <c r="D425" s="22">
        <v>0</v>
      </c>
      <c r="E425" s="22">
        <v>1</v>
      </c>
      <c r="F425" s="1"/>
      <c r="G425" s="1"/>
      <c r="H425" s="15"/>
      <c r="I425" s="15"/>
      <c r="J425">
        <f>Table2[[#This Row],[Cost unitar]]*Table2[[#This Row],[Stoc Depozit]]</f>
        <v>0</v>
      </c>
      <c r="K425" t="s">
        <v>866</v>
      </c>
      <c r="L425" t="s">
        <v>864</v>
      </c>
    </row>
    <row r="426" spans="1:12" x14ac:dyDescent="0.25">
      <c r="A426" s="6" t="s">
        <v>795</v>
      </c>
      <c r="B426" t="s">
        <v>795</v>
      </c>
      <c r="C426" s="48" t="s">
        <v>749</v>
      </c>
      <c r="D426" s="22">
        <v>0</v>
      </c>
      <c r="E426" s="22">
        <v>1</v>
      </c>
      <c r="F426" s="1"/>
      <c r="G426" s="1"/>
      <c r="H426" s="15"/>
      <c r="I426" s="15"/>
      <c r="J426">
        <f>Table2[[#This Row],[Cost unitar]]*Table2[[#This Row],[Stoc Depozit]]</f>
        <v>0</v>
      </c>
      <c r="K426" t="s">
        <v>866</v>
      </c>
      <c r="L426" t="s">
        <v>864</v>
      </c>
    </row>
    <row r="427" spans="1:12" x14ac:dyDescent="0.25">
      <c r="A427" s="6" t="s">
        <v>796</v>
      </c>
      <c r="B427" t="s">
        <v>796</v>
      </c>
      <c r="C427" s="48" t="s">
        <v>750</v>
      </c>
      <c r="D427" s="22">
        <v>0</v>
      </c>
      <c r="E427" s="22">
        <v>1</v>
      </c>
      <c r="F427" s="1"/>
      <c r="G427" s="1"/>
      <c r="H427" s="15"/>
      <c r="I427" s="15"/>
      <c r="J427">
        <f>Table2[[#This Row],[Cost unitar]]*Table2[[#This Row],[Stoc Depozit]]</f>
        <v>0</v>
      </c>
      <c r="K427" t="s">
        <v>866</v>
      </c>
      <c r="L427" t="s">
        <v>864</v>
      </c>
    </row>
    <row r="428" spans="1:12" x14ac:dyDescent="0.25">
      <c r="A428" s="6" t="s">
        <v>982</v>
      </c>
      <c r="C428" s="48" t="s">
        <v>637</v>
      </c>
      <c r="D428" s="22"/>
      <c r="E428" s="22">
        <v>1</v>
      </c>
      <c r="F428" s="1"/>
      <c r="G428" s="1"/>
      <c r="H428" s="15"/>
      <c r="I428" s="15"/>
      <c r="J428">
        <f>Table2[[#This Row],[Cost unitar]]*Table2[[#This Row],[Stoc Depozit]]</f>
        <v>0</v>
      </c>
      <c r="K428" t="s">
        <v>866</v>
      </c>
      <c r="L428" t="s">
        <v>864</v>
      </c>
    </row>
    <row r="429" spans="1:12" x14ac:dyDescent="0.25">
      <c r="A429" s="6" t="s">
        <v>983</v>
      </c>
      <c r="C429" s="48" t="s">
        <v>637</v>
      </c>
      <c r="D429" s="22"/>
      <c r="E429" s="22">
        <v>1</v>
      </c>
      <c r="F429" s="1"/>
      <c r="G429" s="1"/>
      <c r="H429" s="15"/>
      <c r="I429" s="15"/>
      <c r="J429">
        <f>Table2[[#This Row],[Cost unitar]]*Table2[[#This Row],[Stoc Depozit]]</f>
        <v>0</v>
      </c>
      <c r="K429" t="s">
        <v>866</v>
      </c>
      <c r="L429" t="s">
        <v>864</v>
      </c>
    </row>
    <row r="430" spans="1:12" x14ac:dyDescent="0.25">
      <c r="A430" s="6" t="s">
        <v>984</v>
      </c>
      <c r="C430" s="48" t="s">
        <v>986</v>
      </c>
      <c r="D430" s="22"/>
      <c r="E430" s="22">
        <v>1</v>
      </c>
      <c r="F430" s="1"/>
      <c r="G430" s="1"/>
      <c r="H430" s="15"/>
      <c r="I430" s="15"/>
      <c r="J430">
        <f>Table2[[#This Row],[Cost unitar]]*Table2[[#This Row],[Stoc Depozit]]</f>
        <v>0</v>
      </c>
      <c r="K430" t="s">
        <v>866</v>
      </c>
      <c r="L430" t="s">
        <v>864</v>
      </c>
    </row>
    <row r="431" spans="1:12" x14ac:dyDescent="0.25">
      <c r="A431" s="6" t="s">
        <v>985</v>
      </c>
      <c r="C431" s="48" t="s">
        <v>987</v>
      </c>
      <c r="D431" s="22"/>
      <c r="E431" s="22">
        <v>1</v>
      </c>
      <c r="F431" s="1"/>
      <c r="G431" s="1"/>
      <c r="H431" s="15"/>
      <c r="I431" s="15"/>
      <c r="J431">
        <f>Table2[[#This Row],[Cost unitar]]*Table2[[#This Row],[Stoc Depozit]]</f>
        <v>0</v>
      </c>
      <c r="K431" t="s">
        <v>866</v>
      </c>
      <c r="L431" t="s">
        <v>864</v>
      </c>
    </row>
    <row r="432" spans="1:12" x14ac:dyDescent="0.25">
      <c r="A432" t="s">
        <v>566</v>
      </c>
      <c r="B432" t="s">
        <v>566</v>
      </c>
      <c r="C432" s="35" t="s">
        <v>834</v>
      </c>
      <c r="D432" s="22">
        <v>1</v>
      </c>
      <c r="E432" s="22">
        <v>0</v>
      </c>
      <c r="F432" s="1"/>
      <c r="G432" s="1"/>
      <c r="H432" s="15"/>
      <c r="I432" s="15"/>
      <c r="J432">
        <f>Table2[[#This Row],[Cost unitar]]*Table2[[#This Row],[Stoc Depozit]]</f>
        <v>0</v>
      </c>
      <c r="K432" t="s">
        <v>835</v>
      </c>
    </row>
    <row r="433" spans="1:12" x14ac:dyDescent="0.25">
      <c r="A433" t="s">
        <v>841</v>
      </c>
      <c r="B433" t="s">
        <v>841</v>
      </c>
      <c r="C433" s="35" t="s">
        <v>837</v>
      </c>
      <c r="D433" s="22">
        <v>1</v>
      </c>
      <c r="E433" s="22">
        <v>0</v>
      </c>
      <c r="F433" s="1"/>
      <c r="G433" s="1"/>
      <c r="H433" s="15"/>
      <c r="I433" s="15"/>
      <c r="J433">
        <f>Table2[[#This Row],[Cost unitar]]*Table2[[#This Row],[Stoc Depozit]]</f>
        <v>0</v>
      </c>
      <c r="K433" t="s">
        <v>835</v>
      </c>
    </row>
    <row r="434" spans="1:12" x14ac:dyDescent="0.25">
      <c r="A434" t="s">
        <v>842</v>
      </c>
      <c r="B434" t="s">
        <v>842</v>
      </c>
      <c r="C434" s="35" t="s">
        <v>837</v>
      </c>
      <c r="D434" s="22">
        <v>1</v>
      </c>
      <c r="E434" s="22">
        <v>0</v>
      </c>
      <c r="F434" s="1"/>
      <c r="G434" s="1"/>
      <c r="H434" s="15"/>
      <c r="I434" s="15"/>
      <c r="J434">
        <f>Table2[[#This Row],[Cost unitar]]*Table2[[#This Row],[Stoc Depozit]]</f>
        <v>0</v>
      </c>
      <c r="K434" t="s">
        <v>835</v>
      </c>
    </row>
    <row r="435" spans="1:12" x14ac:dyDescent="0.25">
      <c r="A435" t="s">
        <v>843</v>
      </c>
      <c r="B435" t="s">
        <v>843</v>
      </c>
      <c r="C435" s="35" t="s">
        <v>836</v>
      </c>
      <c r="D435" s="22">
        <v>1</v>
      </c>
      <c r="E435" s="22">
        <v>0</v>
      </c>
      <c r="F435" s="1"/>
      <c r="G435" s="1"/>
      <c r="H435" s="15"/>
      <c r="I435" s="15"/>
      <c r="J435">
        <f>Table2[[#This Row],[Cost unitar]]*Table2[[#This Row],[Stoc Depozit]]</f>
        <v>0</v>
      </c>
      <c r="K435" t="s">
        <v>835</v>
      </c>
    </row>
    <row r="436" spans="1:12" x14ac:dyDescent="0.25">
      <c r="A436" t="s">
        <v>844</v>
      </c>
      <c r="B436" t="s">
        <v>844</v>
      </c>
      <c r="C436" s="35" t="s">
        <v>701</v>
      </c>
      <c r="D436" s="22">
        <v>1</v>
      </c>
      <c r="E436" s="22">
        <v>0</v>
      </c>
      <c r="F436" s="1"/>
      <c r="G436" s="1"/>
      <c r="H436" s="15"/>
      <c r="I436" s="15"/>
      <c r="J436">
        <f>Table2[[#This Row],[Cost unitar]]*Table2[[#This Row],[Stoc Depozit]]</f>
        <v>0</v>
      </c>
      <c r="K436" t="s">
        <v>835</v>
      </c>
    </row>
    <row r="437" spans="1:12" x14ac:dyDescent="0.25">
      <c r="A437" t="s">
        <v>845</v>
      </c>
      <c r="B437" t="s">
        <v>845</v>
      </c>
      <c r="C437" s="35" t="s">
        <v>637</v>
      </c>
      <c r="D437" s="22">
        <v>1</v>
      </c>
      <c r="E437" s="22">
        <v>0</v>
      </c>
      <c r="F437" s="1"/>
      <c r="G437" s="1"/>
      <c r="H437" s="15"/>
      <c r="I437" s="15"/>
      <c r="J437">
        <f>Table2[[#This Row],[Cost unitar]]*Table2[[#This Row],[Stoc Depozit]]</f>
        <v>0</v>
      </c>
      <c r="K437" t="s">
        <v>835</v>
      </c>
    </row>
    <row r="438" spans="1:12" x14ac:dyDescent="0.25">
      <c r="A438" t="s">
        <v>846</v>
      </c>
      <c r="B438" t="s">
        <v>846</v>
      </c>
      <c r="C438" s="35" t="s">
        <v>838</v>
      </c>
      <c r="D438" s="22">
        <v>1</v>
      </c>
      <c r="E438" s="22">
        <v>0</v>
      </c>
      <c r="F438" s="1"/>
      <c r="G438" s="1"/>
      <c r="H438" s="15"/>
      <c r="I438" s="15"/>
      <c r="J438">
        <f>Table2[[#This Row],[Cost unitar]]*Table2[[#This Row],[Stoc Depozit]]</f>
        <v>0</v>
      </c>
      <c r="K438" t="s">
        <v>835</v>
      </c>
    </row>
    <row r="439" spans="1:12" x14ac:dyDescent="0.25">
      <c r="A439" t="s">
        <v>847</v>
      </c>
      <c r="B439" t="s">
        <v>847</v>
      </c>
      <c r="C439" s="35" t="s">
        <v>635</v>
      </c>
      <c r="D439" s="22">
        <v>1</v>
      </c>
      <c r="E439" s="22">
        <v>0</v>
      </c>
      <c r="F439" s="1"/>
      <c r="G439" s="1"/>
      <c r="H439" s="15"/>
      <c r="I439" s="15"/>
      <c r="J439">
        <f>Table2[[#This Row],[Cost unitar]]*Table2[[#This Row],[Stoc Depozit]]</f>
        <v>0</v>
      </c>
      <c r="K439" t="s">
        <v>835</v>
      </c>
    </row>
    <row r="440" spans="1:12" x14ac:dyDescent="0.25">
      <c r="A440" t="s">
        <v>848</v>
      </c>
      <c r="B440" t="s">
        <v>848</v>
      </c>
      <c r="C440" s="35" t="s">
        <v>839</v>
      </c>
      <c r="D440" s="22">
        <v>1</v>
      </c>
      <c r="E440" s="22">
        <v>0</v>
      </c>
      <c r="F440" s="1"/>
      <c r="G440" s="1"/>
      <c r="H440" s="15"/>
      <c r="I440" s="15"/>
      <c r="J440">
        <f>Table2[[#This Row],[Cost unitar]]*Table2[[#This Row],[Stoc Depozit]]</f>
        <v>0</v>
      </c>
      <c r="K440" t="s">
        <v>835</v>
      </c>
    </row>
    <row r="441" spans="1:12" x14ac:dyDescent="0.25">
      <c r="A441" t="s">
        <v>849</v>
      </c>
      <c r="B441" t="s">
        <v>849</v>
      </c>
      <c r="C441" s="35" t="s">
        <v>636</v>
      </c>
      <c r="D441" s="22">
        <v>1</v>
      </c>
      <c r="E441" s="22">
        <v>0</v>
      </c>
      <c r="F441" s="1"/>
      <c r="G441" s="1"/>
      <c r="H441" s="15"/>
      <c r="I441" s="15"/>
      <c r="J441">
        <f>Table2[[#This Row],[Cost unitar]]*Table2[[#This Row],[Stoc Depozit]]</f>
        <v>0</v>
      </c>
      <c r="K441" t="s">
        <v>835</v>
      </c>
    </row>
    <row r="442" spans="1:12" x14ac:dyDescent="0.25">
      <c r="A442" t="s">
        <v>850</v>
      </c>
      <c r="B442" t="s">
        <v>850</v>
      </c>
      <c r="C442" s="35" t="s">
        <v>700</v>
      </c>
      <c r="D442" s="22">
        <v>1</v>
      </c>
      <c r="E442" s="22">
        <v>0</v>
      </c>
      <c r="F442" s="1"/>
      <c r="G442" s="1"/>
      <c r="H442" s="15"/>
      <c r="I442" s="15"/>
      <c r="J442">
        <f>Table2[[#This Row],[Cost unitar]]*Table2[[#This Row],[Stoc Depozit]]</f>
        <v>0</v>
      </c>
      <c r="K442" t="s">
        <v>835</v>
      </c>
    </row>
    <row r="443" spans="1:12" x14ac:dyDescent="0.25">
      <c r="A443" t="s">
        <v>851</v>
      </c>
      <c r="B443" t="s">
        <v>851</v>
      </c>
      <c r="C443" s="35" t="s">
        <v>631</v>
      </c>
      <c r="D443" s="22">
        <v>1</v>
      </c>
      <c r="E443" s="22">
        <v>0</v>
      </c>
      <c r="F443" s="1"/>
      <c r="G443" s="1"/>
      <c r="H443" s="15"/>
      <c r="I443" s="15"/>
      <c r="J443">
        <f>Table2[[#This Row],[Cost unitar]]*Table2[[#This Row],[Stoc Depozit]]</f>
        <v>0</v>
      </c>
      <c r="K443" t="s">
        <v>835</v>
      </c>
    </row>
    <row r="444" spans="1:12" x14ac:dyDescent="0.25">
      <c r="A444" t="s">
        <v>852</v>
      </c>
      <c r="B444" t="s">
        <v>852</v>
      </c>
      <c r="C444" s="35" t="s">
        <v>840</v>
      </c>
      <c r="D444" s="22">
        <v>1</v>
      </c>
      <c r="E444" s="22">
        <v>0</v>
      </c>
      <c r="F444" s="1"/>
      <c r="G444" s="1"/>
      <c r="H444" s="15"/>
      <c r="I444" s="15"/>
      <c r="J444">
        <f>Table2[[#This Row],[Cost unitar]]*Table2[[#This Row],[Stoc Depozit]]</f>
        <v>0</v>
      </c>
      <c r="K444" t="s">
        <v>835</v>
      </c>
    </row>
    <row r="445" spans="1:12" x14ac:dyDescent="0.25">
      <c r="A445" t="s">
        <v>853</v>
      </c>
      <c r="B445" t="s">
        <v>853</v>
      </c>
      <c r="C445" s="35" t="s">
        <v>639</v>
      </c>
      <c r="D445" s="22">
        <v>1</v>
      </c>
      <c r="E445" s="22">
        <v>0</v>
      </c>
      <c r="F445" s="1"/>
      <c r="G445" s="1"/>
      <c r="H445" s="15"/>
      <c r="I445" s="15"/>
      <c r="J445">
        <f>Table2[[#This Row],[Cost unitar]]*Table2[[#This Row],[Stoc Depozit]]</f>
        <v>0</v>
      </c>
      <c r="K445" t="s">
        <v>835</v>
      </c>
    </row>
    <row r="446" spans="1:12" x14ac:dyDescent="0.25">
      <c r="A446" s="6" t="s">
        <v>854</v>
      </c>
      <c r="B446" t="s">
        <v>854</v>
      </c>
      <c r="C446" s="48" t="s">
        <v>855</v>
      </c>
      <c r="D446" s="22">
        <v>0</v>
      </c>
      <c r="E446" s="22">
        <v>1</v>
      </c>
      <c r="F446" s="1"/>
      <c r="G446" s="1"/>
      <c r="H446" s="15"/>
      <c r="I446" s="15"/>
      <c r="J446">
        <f>Table2[[#This Row],[Cost unitar]]*Table2[[#This Row],[Stoc Depozit]]</f>
        <v>0</v>
      </c>
      <c r="K446" t="s">
        <v>856</v>
      </c>
      <c r="L446" t="s">
        <v>863</v>
      </c>
    </row>
    <row r="447" spans="1:12" x14ac:dyDescent="0.25">
      <c r="A447" s="6" t="s">
        <v>860</v>
      </c>
      <c r="B447" t="s">
        <v>860</v>
      </c>
      <c r="C447" s="48" t="s">
        <v>857</v>
      </c>
      <c r="D447" s="22">
        <v>0</v>
      </c>
      <c r="E447" s="22">
        <v>1</v>
      </c>
      <c r="F447" s="1"/>
      <c r="G447" s="1"/>
      <c r="H447" s="15"/>
      <c r="I447" s="15"/>
      <c r="J447">
        <f>Table2[[#This Row],[Cost unitar]]*Table2[[#This Row],[Stoc Depozit]]</f>
        <v>0</v>
      </c>
      <c r="K447" t="s">
        <v>856</v>
      </c>
      <c r="L447" t="s">
        <v>863</v>
      </c>
    </row>
    <row r="448" spans="1:12" x14ac:dyDescent="0.25">
      <c r="A448" s="6" t="s">
        <v>861</v>
      </c>
      <c r="B448" t="s">
        <v>861</v>
      </c>
      <c r="C448" s="48" t="s">
        <v>858</v>
      </c>
      <c r="D448" s="22">
        <v>0</v>
      </c>
      <c r="E448" s="22">
        <v>1</v>
      </c>
      <c r="F448" s="1"/>
      <c r="G448" s="1"/>
      <c r="H448" s="15"/>
      <c r="I448" s="15"/>
      <c r="J448">
        <f>Table2[[#This Row],[Cost unitar]]*Table2[[#This Row],[Stoc Depozit]]</f>
        <v>0</v>
      </c>
      <c r="K448" t="s">
        <v>856</v>
      </c>
      <c r="L448" t="s">
        <v>863</v>
      </c>
    </row>
    <row r="449" spans="1:12" x14ac:dyDescent="0.25">
      <c r="A449" s="6" t="s">
        <v>862</v>
      </c>
      <c r="B449" t="s">
        <v>862</v>
      </c>
      <c r="C449" s="48" t="s">
        <v>859</v>
      </c>
      <c r="D449" s="22">
        <v>0</v>
      </c>
      <c r="E449" s="22">
        <v>1</v>
      </c>
      <c r="F449" s="1"/>
      <c r="G449" s="1"/>
      <c r="H449" s="15"/>
      <c r="I449" s="15"/>
      <c r="J449">
        <f>Table2[[#This Row],[Cost unitar]]*Table2[[#This Row],[Stoc Depozit]]</f>
        <v>0</v>
      </c>
      <c r="K449" t="s">
        <v>856</v>
      </c>
      <c r="L449" t="s">
        <v>863</v>
      </c>
    </row>
    <row r="450" spans="1:12" x14ac:dyDescent="0.25">
      <c r="A450" s="6" t="s">
        <v>966</v>
      </c>
      <c r="C450" s="48" t="s">
        <v>580</v>
      </c>
      <c r="D450" s="22">
        <v>0</v>
      </c>
      <c r="E450" s="22">
        <v>1</v>
      </c>
      <c r="F450" s="1"/>
      <c r="G450" s="1"/>
      <c r="H450" s="15"/>
      <c r="I450" s="15"/>
      <c r="J450">
        <f>Table2[[#This Row],[Cost unitar]]*Table2[[#This Row],[Stoc Depozit]]</f>
        <v>0</v>
      </c>
      <c r="L450" t="s">
        <v>988</v>
      </c>
    </row>
    <row r="451" spans="1:12" x14ac:dyDescent="0.25">
      <c r="A451" s="6" t="s">
        <v>967</v>
      </c>
      <c r="C451" s="48" t="s">
        <v>965</v>
      </c>
      <c r="D451" s="22">
        <v>0</v>
      </c>
      <c r="E451" s="22">
        <v>1</v>
      </c>
      <c r="F451" s="1"/>
      <c r="G451" s="1"/>
      <c r="H451" s="15"/>
      <c r="I451" s="15"/>
      <c r="J451">
        <f>Table2[[#This Row],[Cost unitar]]*Table2[[#This Row],[Stoc Depozit]]</f>
        <v>0</v>
      </c>
      <c r="L451" t="s">
        <v>863</v>
      </c>
    </row>
    <row r="452" spans="1:12" x14ac:dyDescent="0.25">
      <c r="A452" s="6" t="s">
        <v>968</v>
      </c>
      <c r="C452" s="48" t="s">
        <v>636</v>
      </c>
      <c r="D452" s="22">
        <v>0</v>
      </c>
      <c r="E452" s="22">
        <v>1</v>
      </c>
      <c r="F452" s="1"/>
      <c r="G452" s="1"/>
      <c r="H452" s="15"/>
      <c r="I452" s="15"/>
      <c r="J452">
        <f>Table2[[#This Row],[Cost unitar]]*Table2[[#This Row],[Stoc Depozit]]</f>
        <v>0</v>
      </c>
    </row>
    <row r="453" spans="1:12" x14ac:dyDescent="0.25">
      <c r="C453" s="36" t="s">
        <v>963</v>
      </c>
      <c r="D453" s="22">
        <v>0</v>
      </c>
      <c r="E453" s="22">
        <v>0</v>
      </c>
      <c r="F453" s="1"/>
      <c r="G453" s="1"/>
      <c r="H453" s="15"/>
      <c r="I453" s="15"/>
      <c r="J453">
        <f>Table2[[#This Row],[Cost unitar]]*Table2[[#This Row],[Stoc Depozit]]</f>
        <v>0</v>
      </c>
    </row>
    <row r="454" spans="1:12" x14ac:dyDescent="0.25">
      <c r="C454" s="36" t="s">
        <v>964</v>
      </c>
      <c r="D454" s="22">
        <v>0</v>
      </c>
      <c r="E454" s="22">
        <v>0</v>
      </c>
      <c r="F454" s="1"/>
      <c r="G454" s="1"/>
      <c r="H454" s="15"/>
      <c r="I454" s="15"/>
      <c r="J454">
        <f>Table2[[#This Row],[Cost unitar]]*Table2[[#This Row],[Stoc Depozit]]</f>
        <v>0</v>
      </c>
    </row>
    <row r="455" spans="1:12" x14ac:dyDescent="0.25">
      <c r="C455" s="36"/>
      <c r="D455" s="22"/>
      <c r="E455" s="22">
        <v>0</v>
      </c>
      <c r="F455" s="1"/>
      <c r="G455" s="1"/>
      <c r="H455" s="15"/>
      <c r="I455" s="15"/>
      <c r="J455">
        <f>Table2[[#This Row],[Cost unitar]]*Table2[[#This Row],[Stoc Depozit]]</f>
        <v>0</v>
      </c>
    </row>
    <row r="456" spans="1:12" x14ac:dyDescent="0.25">
      <c r="A456" t="s">
        <v>867</v>
      </c>
      <c r="B456" t="s">
        <v>867</v>
      </c>
      <c r="C456" t="s">
        <v>868</v>
      </c>
      <c r="D456" s="22">
        <v>0</v>
      </c>
      <c r="E456" s="22">
        <v>1</v>
      </c>
      <c r="F456" s="1"/>
      <c r="G456" s="1"/>
      <c r="H456" s="15"/>
      <c r="I456" s="15"/>
      <c r="J456">
        <f>Table2[[#This Row],[Cost unitar]]*Table2[[#This Row],[Stoc Depozit]]</f>
        <v>0</v>
      </c>
      <c r="K456" t="s">
        <v>160</v>
      </c>
      <c r="L456" t="s">
        <v>902</v>
      </c>
    </row>
    <row r="457" spans="1:12" x14ac:dyDescent="0.25">
      <c r="A457" t="s">
        <v>911</v>
      </c>
      <c r="B457" t="s">
        <v>911</v>
      </c>
      <c r="C457" t="s">
        <v>909</v>
      </c>
      <c r="D457" s="22">
        <v>0</v>
      </c>
      <c r="E457" s="22">
        <v>1</v>
      </c>
      <c r="F457" s="1"/>
      <c r="G457" s="1"/>
      <c r="H457" s="15"/>
      <c r="I457" s="15"/>
      <c r="J457">
        <f>Table2[[#This Row],[Cost unitar]]*Table2[[#This Row],[Stoc Depozit]]</f>
        <v>0</v>
      </c>
      <c r="K457" t="s">
        <v>910</v>
      </c>
    </row>
    <row r="458" spans="1:12" x14ac:dyDescent="0.25">
      <c r="A458" t="s">
        <v>960</v>
      </c>
      <c r="C458" t="s">
        <v>961</v>
      </c>
      <c r="D458" s="22">
        <v>0</v>
      </c>
      <c r="E458" s="22">
        <v>1</v>
      </c>
      <c r="F458" s="1"/>
      <c r="G458" s="1"/>
      <c r="H458" s="15"/>
      <c r="I458" s="15"/>
      <c r="J458">
        <f>Table2[[#This Row],[Cost unitar]]*Table2[[#This Row],[Stoc Depozit]]</f>
        <v>0</v>
      </c>
    </row>
    <row r="459" spans="1:12" x14ac:dyDescent="0.25">
      <c r="A459" t="s">
        <v>913</v>
      </c>
      <c r="B459" t="s">
        <v>913</v>
      </c>
      <c r="C459" t="s">
        <v>912</v>
      </c>
      <c r="D459" s="22">
        <v>0</v>
      </c>
      <c r="E459" s="22">
        <v>1</v>
      </c>
      <c r="F459" s="1"/>
      <c r="G459" s="1"/>
      <c r="H459" s="15"/>
      <c r="I459" s="15"/>
      <c r="J459">
        <f>Table2[[#This Row],[Cost unitar]]*Table2[[#This Row],[Stoc Depozit]]</f>
        <v>0</v>
      </c>
      <c r="K459" t="s">
        <v>492</v>
      </c>
    </row>
    <row r="460" spans="1:12" x14ac:dyDescent="0.25">
      <c r="A460" t="s">
        <v>914</v>
      </c>
      <c r="B460" t="s">
        <v>914</v>
      </c>
      <c r="C460" t="s">
        <v>915</v>
      </c>
      <c r="D460" s="22">
        <v>0</v>
      </c>
      <c r="E460" s="22">
        <v>1</v>
      </c>
      <c r="F460" s="1"/>
      <c r="G460" s="1"/>
      <c r="H460" s="15"/>
      <c r="I460" s="15"/>
      <c r="J460">
        <f>Table2[[#This Row],[Cost unitar]]*Table2[[#This Row],[Stoc Depozit]]</f>
        <v>0</v>
      </c>
      <c r="K460" t="s">
        <v>910</v>
      </c>
    </row>
    <row r="461" spans="1:12" x14ac:dyDescent="0.25">
      <c r="A461" t="s">
        <v>916</v>
      </c>
      <c r="B461" t="s">
        <v>914</v>
      </c>
      <c r="C461" t="s">
        <v>915</v>
      </c>
      <c r="D461" s="22">
        <v>0</v>
      </c>
      <c r="E461" s="22">
        <v>1</v>
      </c>
      <c r="F461" s="1"/>
      <c r="G461" s="1"/>
      <c r="H461" s="15"/>
      <c r="I461" s="15"/>
      <c r="J461">
        <f>Table2[[#This Row],[Cost unitar]]*Table2[[#This Row],[Stoc Depozit]]</f>
        <v>0</v>
      </c>
      <c r="K461" t="s">
        <v>1274</v>
      </c>
      <c r="L461" t="s">
        <v>824</v>
      </c>
    </row>
    <row r="462" spans="1:12" x14ac:dyDescent="0.25">
      <c r="A462" t="s">
        <v>917</v>
      </c>
      <c r="C462" t="s">
        <v>918</v>
      </c>
      <c r="D462" s="22">
        <v>0</v>
      </c>
      <c r="E462" s="22">
        <v>1</v>
      </c>
      <c r="F462" s="1"/>
      <c r="G462" s="1"/>
      <c r="H462" s="15"/>
      <c r="I462" s="15"/>
      <c r="J462">
        <f>Table2[[#This Row],[Cost unitar]]*Table2[[#This Row],[Stoc Depozit]]</f>
        <v>0</v>
      </c>
      <c r="K462" t="s">
        <v>939</v>
      </c>
    </row>
    <row r="463" spans="1:12" x14ac:dyDescent="0.25">
      <c r="A463" t="s">
        <v>919</v>
      </c>
      <c r="C463" t="s">
        <v>918</v>
      </c>
      <c r="D463" s="22">
        <v>1</v>
      </c>
      <c r="E463" s="22">
        <v>0</v>
      </c>
      <c r="F463" s="1"/>
      <c r="G463" s="1"/>
      <c r="H463" s="15"/>
      <c r="I463" s="15"/>
      <c r="J463">
        <f>Table2[[#This Row],[Cost unitar]]*Table2[[#This Row],[Stoc Depozit]]</f>
        <v>0</v>
      </c>
    </row>
    <row r="464" spans="1:12" x14ac:dyDescent="0.25">
      <c r="A464" t="s">
        <v>920</v>
      </c>
      <c r="C464" t="s">
        <v>928</v>
      </c>
      <c r="D464" s="22">
        <v>0</v>
      </c>
      <c r="E464" s="22">
        <v>0</v>
      </c>
      <c r="F464" s="1"/>
      <c r="G464" s="1"/>
      <c r="H464" s="15"/>
      <c r="I464" s="15"/>
      <c r="J464">
        <f>Table2[[#This Row],[Cost unitar]]*Table2[[#This Row],[Stoc Depozit]]</f>
        <v>0</v>
      </c>
      <c r="K464" t="s">
        <v>1274</v>
      </c>
      <c r="L464" t="s">
        <v>824</v>
      </c>
    </row>
    <row r="465" spans="1:12" x14ac:dyDescent="0.25">
      <c r="A465" t="s">
        <v>921</v>
      </c>
      <c r="C465" t="s">
        <v>929</v>
      </c>
      <c r="D465" s="22">
        <v>0</v>
      </c>
      <c r="E465" s="22">
        <v>0</v>
      </c>
      <c r="F465" s="1"/>
      <c r="G465" s="1"/>
      <c r="H465" s="15"/>
      <c r="I465" s="15"/>
      <c r="J465">
        <f>Table2[[#This Row],[Cost unitar]]*Table2[[#This Row],[Stoc Depozit]]</f>
        <v>0</v>
      </c>
      <c r="K465" t="s">
        <v>910</v>
      </c>
    </row>
    <row r="466" spans="1:12" x14ac:dyDescent="0.25">
      <c r="A466" t="s">
        <v>922</v>
      </c>
      <c r="C466" t="s">
        <v>930</v>
      </c>
      <c r="D466" s="22">
        <v>0</v>
      </c>
      <c r="E466" s="22">
        <v>0</v>
      </c>
      <c r="F466" s="1"/>
      <c r="G466" s="1"/>
      <c r="H466" s="15"/>
      <c r="I466" s="15"/>
      <c r="J466">
        <f>Table2[[#This Row],[Cost unitar]]*Table2[[#This Row],[Stoc Depozit]]</f>
        <v>0</v>
      </c>
      <c r="K466" t="s">
        <v>1274</v>
      </c>
      <c r="L466" t="s">
        <v>824</v>
      </c>
    </row>
    <row r="467" spans="1:12" x14ac:dyDescent="0.25">
      <c r="A467" t="s">
        <v>923</v>
      </c>
      <c r="C467" t="s">
        <v>931</v>
      </c>
      <c r="D467" s="22">
        <v>0</v>
      </c>
      <c r="E467" s="22">
        <v>0</v>
      </c>
      <c r="F467" s="1"/>
      <c r="G467" s="1"/>
      <c r="H467" s="15"/>
      <c r="I467" s="15"/>
      <c r="J467">
        <f>Table2[[#This Row],[Cost unitar]]*Table2[[#This Row],[Stoc Depozit]]</f>
        <v>0</v>
      </c>
      <c r="K467" t="s">
        <v>910</v>
      </c>
    </row>
    <row r="468" spans="1:12" x14ac:dyDescent="0.25">
      <c r="A468" t="s">
        <v>924</v>
      </c>
      <c r="C468" t="s">
        <v>932</v>
      </c>
      <c r="D468" s="22">
        <v>1</v>
      </c>
      <c r="E468" s="22">
        <v>0</v>
      </c>
      <c r="F468" s="1"/>
      <c r="G468" s="1"/>
      <c r="H468" s="15"/>
      <c r="I468" s="15"/>
      <c r="J468">
        <f>Table2[[#This Row],[Cost unitar]]*Table2[[#This Row],[Stoc Depozit]]</f>
        <v>0</v>
      </c>
      <c r="K468" t="s">
        <v>939</v>
      </c>
    </row>
    <row r="469" spans="1:12" x14ac:dyDescent="0.25">
      <c r="A469" t="s">
        <v>925</v>
      </c>
      <c r="C469" t="s">
        <v>933</v>
      </c>
      <c r="D469" s="22">
        <v>0</v>
      </c>
      <c r="E469" s="22">
        <v>0</v>
      </c>
      <c r="F469" s="1"/>
      <c r="G469" s="1"/>
      <c r="H469" s="15"/>
      <c r="I469" s="15"/>
      <c r="J469">
        <f>Table2[[#This Row],[Cost unitar]]*Table2[[#This Row],[Stoc Depozit]]</f>
        <v>0</v>
      </c>
      <c r="K469" t="s">
        <v>939</v>
      </c>
    </row>
    <row r="470" spans="1:12" x14ac:dyDescent="0.25">
      <c r="A470" t="s">
        <v>926</v>
      </c>
      <c r="C470" t="s">
        <v>294</v>
      </c>
      <c r="D470" s="22">
        <v>1</v>
      </c>
      <c r="E470" s="22">
        <v>0</v>
      </c>
      <c r="F470" s="1"/>
      <c r="G470" s="1"/>
      <c r="H470" s="15"/>
      <c r="I470" s="15"/>
      <c r="J470">
        <f>Table2[[#This Row],[Cost unitar]]*Table2[[#This Row],[Stoc Depozit]]</f>
        <v>0</v>
      </c>
      <c r="K470" t="s">
        <v>938</v>
      </c>
    </row>
    <row r="471" spans="1:12" x14ac:dyDescent="0.25">
      <c r="A471" t="s">
        <v>927</v>
      </c>
      <c r="C471" t="s">
        <v>937</v>
      </c>
      <c r="D471" s="22">
        <v>0</v>
      </c>
      <c r="E471" s="22">
        <v>0</v>
      </c>
      <c r="F471" s="1"/>
      <c r="G471" s="1"/>
      <c r="H471" s="15"/>
      <c r="I471" s="15"/>
      <c r="J471">
        <f>Table2[[#This Row],[Cost unitar]]*Table2[[#This Row],[Stoc Depozit]]</f>
        <v>0</v>
      </c>
      <c r="K471" t="s">
        <v>939</v>
      </c>
    </row>
    <row r="472" spans="1:12" x14ac:dyDescent="0.25">
      <c r="A472" t="s">
        <v>935</v>
      </c>
      <c r="C472" t="s">
        <v>934</v>
      </c>
      <c r="D472" s="22">
        <v>0</v>
      </c>
      <c r="E472" s="22">
        <v>0</v>
      </c>
      <c r="F472" s="1"/>
      <c r="G472" s="1"/>
      <c r="H472" s="15"/>
      <c r="I472" s="15"/>
      <c r="J472">
        <f>Table2[[#This Row],[Cost unitar]]*Table2[[#This Row],[Stoc Depozit]]</f>
        <v>0</v>
      </c>
      <c r="K472" t="s">
        <v>939</v>
      </c>
    </row>
    <row r="473" spans="1:12" x14ac:dyDescent="0.25">
      <c r="A473" t="s">
        <v>936</v>
      </c>
      <c r="C473" t="s">
        <v>940</v>
      </c>
      <c r="D473" s="22">
        <v>0</v>
      </c>
      <c r="E473" s="22">
        <v>0</v>
      </c>
      <c r="F473" s="1"/>
      <c r="G473" s="1"/>
      <c r="H473" s="15"/>
      <c r="I473" s="15"/>
      <c r="J473">
        <f>Table2[[#This Row],[Cost unitar]]*Table2[[#This Row],[Stoc Depozit]]</f>
        <v>0</v>
      </c>
      <c r="K473" t="s">
        <v>939</v>
      </c>
    </row>
    <row r="474" spans="1:12" x14ac:dyDescent="0.25">
      <c r="A474" t="s">
        <v>941</v>
      </c>
      <c r="C474" s="48" t="s">
        <v>942</v>
      </c>
      <c r="D474" s="22">
        <v>0</v>
      </c>
      <c r="E474" s="22">
        <v>0</v>
      </c>
      <c r="F474" s="1"/>
      <c r="G474" s="1"/>
      <c r="H474" s="15"/>
      <c r="I474" s="15"/>
      <c r="J474">
        <f>Table2[[#This Row],[Cost unitar]]*Table2[[#This Row],[Stoc Depozit]]</f>
        <v>0</v>
      </c>
      <c r="K474" t="s">
        <v>939</v>
      </c>
    </row>
    <row r="475" spans="1:12" x14ac:dyDescent="0.25">
      <c r="A475" t="s">
        <v>943</v>
      </c>
      <c r="C475" s="48" t="s">
        <v>944</v>
      </c>
      <c r="D475" s="22">
        <v>0</v>
      </c>
      <c r="E475" s="22">
        <v>0</v>
      </c>
      <c r="F475" s="1"/>
      <c r="G475" s="1"/>
      <c r="H475" s="15"/>
      <c r="I475" s="15"/>
      <c r="J475">
        <f>Table2[[#This Row],[Cost unitar]]*Table2[[#This Row],[Stoc Depozit]]</f>
        <v>0</v>
      </c>
      <c r="K475" t="s">
        <v>939</v>
      </c>
    </row>
    <row r="476" spans="1:12" x14ac:dyDescent="0.25">
      <c r="A476" t="s">
        <v>948</v>
      </c>
      <c r="C476" s="48" t="s">
        <v>636</v>
      </c>
      <c r="D476" s="22">
        <v>0</v>
      </c>
      <c r="E476" s="22">
        <v>0</v>
      </c>
      <c r="F476" s="1"/>
      <c r="G476" s="1"/>
      <c r="H476" s="15"/>
      <c r="I476" s="15"/>
      <c r="J476">
        <f>Table2[[#This Row],[Cost unitar]]*Table2[[#This Row],[Stoc Depozit]]</f>
        <v>0</v>
      </c>
      <c r="K476" t="s">
        <v>939</v>
      </c>
    </row>
    <row r="477" spans="1:12" x14ac:dyDescent="0.25">
      <c r="A477" t="s">
        <v>949</v>
      </c>
      <c r="C477" s="48" t="s">
        <v>631</v>
      </c>
      <c r="D477" s="22">
        <v>0</v>
      </c>
      <c r="E477" s="22">
        <v>0</v>
      </c>
      <c r="F477" s="1"/>
      <c r="G477" s="1"/>
      <c r="H477" s="15"/>
      <c r="I477" s="15"/>
      <c r="J477">
        <f>Table2[[#This Row],[Cost unitar]]*Table2[[#This Row],[Stoc Depozit]]</f>
        <v>0</v>
      </c>
      <c r="K477" t="s">
        <v>939</v>
      </c>
    </row>
    <row r="478" spans="1:12" x14ac:dyDescent="0.25">
      <c r="A478" t="s">
        <v>950</v>
      </c>
      <c r="C478" s="48" t="s">
        <v>637</v>
      </c>
      <c r="D478" s="22">
        <v>0</v>
      </c>
      <c r="E478" s="22">
        <v>0</v>
      </c>
      <c r="F478" s="1"/>
      <c r="G478" s="1"/>
      <c r="H478" s="15"/>
      <c r="I478" s="15"/>
      <c r="J478">
        <f>Table2[[#This Row],[Cost unitar]]*Table2[[#This Row],[Stoc Depozit]]</f>
        <v>0</v>
      </c>
      <c r="K478" t="s">
        <v>939</v>
      </c>
    </row>
    <row r="479" spans="1:12" x14ac:dyDescent="0.25">
      <c r="A479" t="s">
        <v>951</v>
      </c>
      <c r="C479" s="48" t="s">
        <v>635</v>
      </c>
      <c r="D479" s="22">
        <v>0</v>
      </c>
      <c r="E479" s="22">
        <v>0</v>
      </c>
      <c r="F479" s="1"/>
      <c r="G479" s="1"/>
      <c r="H479" s="15"/>
      <c r="I479" s="15"/>
      <c r="J479">
        <f>Table2[[#This Row],[Cost unitar]]*Table2[[#This Row],[Stoc Depozit]]</f>
        <v>0</v>
      </c>
      <c r="K479" t="s">
        <v>939</v>
      </c>
    </row>
    <row r="480" spans="1:12" x14ac:dyDescent="0.25">
      <c r="A480" t="s">
        <v>952</v>
      </c>
      <c r="C480" s="137" t="s">
        <v>945</v>
      </c>
      <c r="D480" s="22">
        <v>0</v>
      </c>
      <c r="E480" s="22">
        <v>0</v>
      </c>
      <c r="F480" s="1"/>
      <c r="G480" s="1"/>
      <c r="H480" s="15"/>
      <c r="I480" s="15"/>
      <c r="J480">
        <f>Table2[[#This Row],[Cost unitar]]*Table2[[#This Row],[Stoc Depozit]]</f>
        <v>0</v>
      </c>
      <c r="K480" t="s">
        <v>939</v>
      </c>
    </row>
    <row r="481" spans="1:12" x14ac:dyDescent="0.25">
      <c r="A481" t="s">
        <v>953</v>
      </c>
      <c r="C481" s="48" t="s">
        <v>946</v>
      </c>
      <c r="D481" s="22">
        <v>0</v>
      </c>
      <c r="E481" s="22">
        <v>0</v>
      </c>
      <c r="F481" s="1"/>
      <c r="G481" s="1"/>
      <c r="H481" s="15"/>
      <c r="I481" s="15"/>
      <c r="J481">
        <f>Table2[[#This Row],[Cost unitar]]*Table2[[#This Row],[Stoc Depozit]]</f>
        <v>0</v>
      </c>
      <c r="K481" t="s">
        <v>939</v>
      </c>
    </row>
    <row r="482" spans="1:12" x14ac:dyDescent="0.25">
      <c r="A482" t="s">
        <v>954</v>
      </c>
      <c r="C482" t="s">
        <v>947</v>
      </c>
      <c r="D482" s="22">
        <v>0</v>
      </c>
      <c r="E482" s="22">
        <v>0</v>
      </c>
      <c r="F482" s="1"/>
      <c r="G482" s="1"/>
      <c r="H482" s="15"/>
      <c r="I482" s="15"/>
      <c r="J482">
        <f>Table2[[#This Row],[Cost unitar]]*Table2[[#This Row],[Stoc Depozit]]</f>
        <v>0</v>
      </c>
      <c r="K482" t="s">
        <v>939</v>
      </c>
    </row>
    <row r="483" spans="1:12" x14ac:dyDescent="0.25">
      <c r="A483" t="s">
        <v>955</v>
      </c>
      <c r="C483" t="s">
        <v>958</v>
      </c>
      <c r="D483" s="22">
        <v>0</v>
      </c>
      <c r="E483" s="22">
        <v>0</v>
      </c>
      <c r="F483" s="1"/>
      <c r="G483" s="1"/>
      <c r="H483" s="15"/>
      <c r="I483" s="15"/>
      <c r="J483">
        <f>Table2[[#This Row],[Cost unitar]]*Table2[[#This Row],[Stoc Depozit]]</f>
        <v>0</v>
      </c>
      <c r="K483" t="s">
        <v>959</v>
      </c>
    </row>
    <row r="484" spans="1:12" x14ac:dyDescent="0.25">
      <c r="A484" t="s">
        <v>956</v>
      </c>
      <c r="C484" t="s">
        <v>958</v>
      </c>
      <c r="D484" s="22">
        <v>0</v>
      </c>
      <c r="E484" s="22">
        <v>0</v>
      </c>
      <c r="F484" s="1"/>
      <c r="G484" s="1"/>
      <c r="H484" s="15"/>
      <c r="I484" s="15"/>
      <c r="J484">
        <f>Table2[[#This Row],[Cost unitar]]*Table2[[#This Row],[Stoc Depozit]]</f>
        <v>0</v>
      </c>
      <c r="K484" t="s">
        <v>959</v>
      </c>
    </row>
    <row r="485" spans="1:12" x14ac:dyDescent="0.25">
      <c r="A485" t="s">
        <v>957</v>
      </c>
      <c r="C485" t="s">
        <v>958</v>
      </c>
      <c r="D485" s="22">
        <v>0</v>
      </c>
      <c r="E485" s="22">
        <v>0</v>
      </c>
      <c r="F485" s="1"/>
      <c r="G485" s="1"/>
      <c r="H485" s="15"/>
      <c r="I485" s="15"/>
      <c r="J485">
        <f>Table2[[#This Row],[Cost unitar]]*Table2[[#This Row],[Stoc Depozit]]</f>
        <v>0</v>
      </c>
      <c r="K485" t="s">
        <v>959</v>
      </c>
    </row>
    <row r="486" spans="1:12" x14ac:dyDescent="0.25">
      <c r="A486" t="s">
        <v>971</v>
      </c>
      <c r="C486" t="s">
        <v>958</v>
      </c>
      <c r="D486" s="1">
        <v>1</v>
      </c>
      <c r="E486" s="22">
        <v>0</v>
      </c>
      <c r="F486" s="1"/>
      <c r="G486" s="1"/>
      <c r="H486" s="15"/>
      <c r="I486" s="15"/>
      <c r="J486">
        <f>Table2[[#This Row],[Cost unitar]]*Table2[[#This Row],[Stoc Depozit]]</f>
        <v>0</v>
      </c>
      <c r="K486" t="s">
        <v>621</v>
      </c>
    </row>
    <row r="487" spans="1:12" x14ac:dyDescent="0.25">
      <c r="A487" t="s">
        <v>972</v>
      </c>
      <c r="C487" t="s">
        <v>958</v>
      </c>
      <c r="D487" s="1">
        <v>1</v>
      </c>
      <c r="E487" s="22">
        <v>0</v>
      </c>
      <c r="F487" s="1"/>
      <c r="G487" s="1"/>
      <c r="H487" s="15"/>
      <c r="I487" s="15"/>
      <c r="J487">
        <f>Table2[[#This Row],[Cost unitar]]*Table2[[#This Row],[Stoc Depozit]]</f>
        <v>0</v>
      </c>
      <c r="K487" t="s">
        <v>621</v>
      </c>
    </row>
    <row r="488" spans="1:12" x14ac:dyDescent="0.25">
      <c r="A488" t="s">
        <v>974</v>
      </c>
      <c r="C488" t="s">
        <v>975</v>
      </c>
      <c r="D488" s="1">
        <v>0</v>
      </c>
      <c r="E488" s="22">
        <v>1</v>
      </c>
      <c r="F488" s="1"/>
      <c r="G488" s="1"/>
      <c r="H488" s="15"/>
      <c r="I488" s="15"/>
      <c r="J488">
        <f>Table2[[#This Row],[Cost unitar]]*Table2[[#This Row],[Stoc Depozit]]</f>
        <v>0</v>
      </c>
      <c r="K488" t="s">
        <v>976</v>
      </c>
      <c r="L488" t="s">
        <v>977</v>
      </c>
    </row>
    <row r="489" spans="1:12" x14ac:dyDescent="0.25">
      <c r="A489" t="s">
        <v>978</v>
      </c>
      <c r="C489" t="s">
        <v>963</v>
      </c>
      <c r="D489" s="1">
        <v>0</v>
      </c>
      <c r="E489" s="22">
        <v>0</v>
      </c>
      <c r="F489" s="1"/>
      <c r="G489" s="1"/>
      <c r="H489" s="15"/>
      <c r="I489" s="15"/>
      <c r="J489">
        <f>Table2[[#This Row],[Cost unitar]]*Table2[[#This Row],[Stoc Depozit]]</f>
        <v>0</v>
      </c>
      <c r="K489" t="s">
        <v>856</v>
      </c>
    </row>
    <row r="490" spans="1:12" x14ac:dyDescent="0.25">
      <c r="A490" t="s">
        <v>979</v>
      </c>
      <c r="C490" t="s">
        <v>964</v>
      </c>
      <c r="D490" s="1">
        <v>0</v>
      </c>
      <c r="E490" s="22">
        <v>0</v>
      </c>
      <c r="F490" s="1"/>
      <c r="G490" s="1"/>
      <c r="H490" s="15"/>
      <c r="I490" s="15"/>
      <c r="J490">
        <f>Table2[[#This Row],[Cost unitar]]*Table2[[#This Row],[Stoc Depozit]]</f>
        <v>0</v>
      </c>
      <c r="K490" t="s">
        <v>856</v>
      </c>
    </row>
    <row r="491" spans="1:12" x14ac:dyDescent="0.25">
      <c r="A491" t="s">
        <v>980</v>
      </c>
      <c r="C491" t="s">
        <v>981</v>
      </c>
      <c r="D491" s="1">
        <v>0</v>
      </c>
      <c r="E491" s="22">
        <v>1</v>
      </c>
      <c r="F491" s="1"/>
      <c r="G491" s="1"/>
      <c r="H491" s="15"/>
      <c r="I491" s="15"/>
      <c r="J491">
        <f>Table2[[#This Row],[Cost unitar]]*Table2[[#This Row],[Stoc Depozit]]</f>
        <v>0</v>
      </c>
      <c r="K491" t="s">
        <v>492</v>
      </c>
      <c r="L491" t="s">
        <v>1001</v>
      </c>
    </row>
    <row r="492" spans="1:12" x14ac:dyDescent="0.25">
      <c r="A492" t="s">
        <v>989</v>
      </c>
      <c r="C492" t="s">
        <v>631</v>
      </c>
      <c r="D492" s="1">
        <v>0</v>
      </c>
      <c r="E492" s="22">
        <v>1</v>
      </c>
      <c r="F492" s="1"/>
      <c r="G492" s="1"/>
      <c r="H492" s="15"/>
      <c r="I492" s="15"/>
      <c r="J492">
        <f>Table2[[#This Row],[Cost unitar]]*Table2[[#This Row],[Stoc Depozit]]</f>
        <v>0</v>
      </c>
      <c r="K492" t="s">
        <v>492</v>
      </c>
      <c r="L492" t="s">
        <v>1001</v>
      </c>
    </row>
    <row r="493" spans="1:12" x14ac:dyDescent="0.25">
      <c r="A493" t="s">
        <v>990</v>
      </c>
      <c r="C493" t="s">
        <v>631</v>
      </c>
      <c r="D493" s="1">
        <v>0</v>
      </c>
      <c r="E493" s="22">
        <v>1</v>
      </c>
      <c r="F493" s="1"/>
      <c r="G493" s="1"/>
      <c r="H493" s="15"/>
      <c r="I493" s="15"/>
      <c r="J493">
        <f>Table2[[#This Row],[Cost unitar]]*Table2[[#This Row],[Stoc Depozit]]</f>
        <v>0</v>
      </c>
      <c r="K493" t="s">
        <v>492</v>
      </c>
      <c r="L493" t="s">
        <v>1001</v>
      </c>
    </row>
    <row r="494" spans="1:12" x14ac:dyDescent="0.25">
      <c r="A494" t="s">
        <v>991</v>
      </c>
      <c r="C494" t="s">
        <v>631</v>
      </c>
      <c r="D494" s="1">
        <v>0</v>
      </c>
      <c r="E494" s="22">
        <v>1</v>
      </c>
      <c r="F494" s="1"/>
      <c r="G494" s="1"/>
      <c r="H494" s="15"/>
      <c r="I494" s="15"/>
      <c r="J494">
        <f>Table2[[#This Row],[Cost unitar]]*Table2[[#This Row],[Stoc Depozit]]</f>
        <v>0</v>
      </c>
      <c r="K494" t="s">
        <v>492</v>
      </c>
      <c r="L494" t="s">
        <v>1001</v>
      </c>
    </row>
    <row r="495" spans="1:12" x14ac:dyDescent="0.25">
      <c r="A495" t="s">
        <v>992</v>
      </c>
      <c r="C495" t="s">
        <v>631</v>
      </c>
      <c r="D495" s="1">
        <v>0</v>
      </c>
      <c r="E495" s="22">
        <v>1</v>
      </c>
      <c r="F495" s="1"/>
      <c r="G495" s="1"/>
      <c r="H495" s="15"/>
      <c r="I495" s="15"/>
      <c r="J495">
        <f>Table2[[#This Row],[Cost unitar]]*Table2[[#This Row],[Stoc Depozit]]</f>
        <v>0</v>
      </c>
      <c r="K495" t="s">
        <v>492</v>
      </c>
      <c r="L495" t="s">
        <v>1001</v>
      </c>
    </row>
    <row r="496" spans="1:12" x14ac:dyDescent="0.25">
      <c r="A496" t="s">
        <v>993</v>
      </c>
      <c r="C496" t="s">
        <v>1000</v>
      </c>
      <c r="D496" s="1">
        <v>0</v>
      </c>
      <c r="E496" s="22">
        <v>1</v>
      </c>
      <c r="F496" s="1"/>
      <c r="G496" s="1"/>
      <c r="H496" s="15"/>
      <c r="I496" s="15"/>
      <c r="J496">
        <f>Table2[[#This Row],[Cost unitar]]*Table2[[#This Row],[Stoc Depozit]]</f>
        <v>0</v>
      </c>
      <c r="K496" t="s">
        <v>492</v>
      </c>
      <c r="L496" t="s">
        <v>1001</v>
      </c>
    </row>
    <row r="497" spans="1:12" x14ac:dyDescent="0.25">
      <c r="A497" t="s">
        <v>994</v>
      </c>
      <c r="C497" t="s">
        <v>1002</v>
      </c>
      <c r="D497" s="1">
        <v>0</v>
      </c>
      <c r="E497" s="22">
        <v>1</v>
      </c>
      <c r="F497" s="1"/>
      <c r="G497" s="1"/>
      <c r="H497" s="15"/>
      <c r="I497" s="15"/>
      <c r="J497">
        <f>Table2[[#This Row],[Cost unitar]]*Table2[[#This Row],[Stoc Depozit]]</f>
        <v>0</v>
      </c>
      <c r="K497" t="s">
        <v>492</v>
      </c>
      <c r="L497" t="s">
        <v>1001</v>
      </c>
    </row>
    <row r="498" spans="1:12" x14ac:dyDescent="0.25">
      <c r="A498" t="s">
        <v>1003</v>
      </c>
      <c r="C498" t="s">
        <v>1004</v>
      </c>
      <c r="D498" s="1">
        <v>0</v>
      </c>
      <c r="E498" s="22">
        <v>1</v>
      </c>
      <c r="F498" s="1"/>
      <c r="G498" s="1"/>
      <c r="H498" s="15"/>
      <c r="I498" s="15"/>
      <c r="J498">
        <f>Table2[[#This Row],[Cost unitar]]*Table2[[#This Row],[Stoc Depozit]]</f>
        <v>0</v>
      </c>
      <c r="K498" t="s">
        <v>492</v>
      </c>
      <c r="L498" t="s">
        <v>1001</v>
      </c>
    </row>
    <row r="499" spans="1:12" x14ac:dyDescent="0.25">
      <c r="A499" t="s">
        <v>995</v>
      </c>
      <c r="C499" t="s">
        <v>1005</v>
      </c>
      <c r="D499" s="1">
        <v>0</v>
      </c>
      <c r="E499" s="22">
        <v>1</v>
      </c>
      <c r="F499" s="1"/>
      <c r="G499" s="1"/>
      <c r="H499" s="15"/>
      <c r="I499" s="15"/>
      <c r="J499">
        <f>Table2[[#This Row],[Cost unitar]]*Table2[[#This Row],[Stoc Depozit]]</f>
        <v>0</v>
      </c>
      <c r="K499" t="s">
        <v>492</v>
      </c>
      <c r="L499" t="s">
        <v>1001</v>
      </c>
    </row>
    <row r="500" spans="1:12" x14ac:dyDescent="0.25">
      <c r="A500" t="s">
        <v>1006</v>
      </c>
      <c r="C500" t="s">
        <v>1004</v>
      </c>
      <c r="D500" s="1">
        <v>0</v>
      </c>
      <c r="E500" s="22">
        <v>1</v>
      </c>
      <c r="F500" s="1"/>
      <c r="G500" s="1"/>
      <c r="H500" s="15"/>
      <c r="I500" s="15"/>
      <c r="J500">
        <f>Table2[[#This Row],[Cost unitar]]*Table2[[#This Row],[Stoc Depozit]]</f>
        <v>0</v>
      </c>
      <c r="K500" t="s">
        <v>492</v>
      </c>
      <c r="L500" t="s">
        <v>1001</v>
      </c>
    </row>
    <row r="501" spans="1:12" x14ac:dyDescent="0.25">
      <c r="A501" t="s">
        <v>996</v>
      </c>
      <c r="C501" t="s">
        <v>1007</v>
      </c>
      <c r="D501" s="1">
        <v>0</v>
      </c>
      <c r="E501" s="22">
        <v>1</v>
      </c>
      <c r="F501" s="1"/>
      <c r="G501" s="1"/>
      <c r="H501" s="15"/>
      <c r="I501" s="15"/>
      <c r="J501">
        <f>Table2[[#This Row],[Cost unitar]]*Table2[[#This Row],[Stoc Depozit]]</f>
        <v>0</v>
      </c>
      <c r="K501" t="s">
        <v>492</v>
      </c>
      <c r="L501" t="s">
        <v>1001</v>
      </c>
    </row>
    <row r="502" spans="1:12" x14ac:dyDescent="0.25">
      <c r="A502" t="s">
        <v>997</v>
      </c>
      <c r="C502" t="s">
        <v>1008</v>
      </c>
      <c r="D502" s="1">
        <v>0</v>
      </c>
      <c r="E502" s="22">
        <v>0</v>
      </c>
      <c r="F502" s="1"/>
      <c r="G502" s="1"/>
      <c r="H502" s="15"/>
      <c r="I502" s="15"/>
      <c r="J502">
        <f>Table2[[#This Row],[Cost unitar]]*Table2[[#This Row],[Stoc Depozit]]</f>
        <v>0</v>
      </c>
      <c r="K502" t="s">
        <v>1273</v>
      </c>
    </row>
    <row r="503" spans="1:12" x14ac:dyDescent="0.25">
      <c r="A503" t="s">
        <v>998</v>
      </c>
      <c r="C503" t="s">
        <v>1012</v>
      </c>
      <c r="D503" s="1">
        <v>1</v>
      </c>
      <c r="E503" s="22">
        <v>0</v>
      </c>
      <c r="F503" s="1"/>
      <c r="G503" s="1"/>
      <c r="H503" s="15"/>
      <c r="I503" s="15"/>
      <c r="J503">
        <f>Table2[[#This Row],[Cost unitar]]*Table2[[#This Row],[Stoc Depozit]]</f>
        <v>0</v>
      </c>
      <c r="K503" t="s">
        <v>1013</v>
      </c>
    </row>
    <row r="504" spans="1:12" x14ac:dyDescent="0.25">
      <c r="A504" t="s">
        <v>999</v>
      </c>
      <c r="C504" t="s">
        <v>1014</v>
      </c>
      <c r="D504" s="1">
        <v>1</v>
      </c>
      <c r="E504" s="22">
        <v>0</v>
      </c>
      <c r="F504" s="1"/>
      <c r="G504" s="1"/>
      <c r="H504" s="15"/>
      <c r="I504" s="15"/>
      <c r="J504">
        <f>Table2[[#This Row],[Cost unitar]]*Table2[[#This Row],[Stoc Depozit]]</f>
        <v>0</v>
      </c>
      <c r="K504" t="s">
        <v>1013</v>
      </c>
    </row>
    <row r="505" spans="1:12" x14ac:dyDescent="0.25">
      <c r="A505" t="s">
        <v>1015</v>
      </c>
      <c r="C505" t="s">
        <v>1025</v>
      </c>
      <c r="D505" s="1">
        <v>1</v>
      </c>
      <c r="E505" s="22">
        <v>0</v>
      </c>
      <c r="F505" s="1"/>
      <c r="G505" s="1"/>
      <c r="H505" s="15"/>
      <c r="I505" s="15"/>
      <c r="J505">
        <f>Table2[[#This Row],[Cost unitar]]*Table2[[#This Row],[Stoc Depozit]]</f>
        <v>0</v>
      </c>
      <c r="K505" t="s">
        <v>1013</v>
      </c>
    </row>
    <row r="506" spans="1:12" x14ac:dyDescent="0.25">
      <c r="A506" t="s">
        <v>1016</v>
      </c>
      <c r="C506" t="s">
        <v>1026</v>
      </c>
      <c r="D506" s="1">
        <v>1</v>
      </c>
      <c r="E506" s="22">
        <v>0</v>
      </c>
      <c r="F506" s="1"/>
      <c r="G506" s="1"/>
      <c r="H506" s="15"/>
      <c r="I506" s="15"/>
      <c r="J506">
        <f>Table2[[#This Row],[Cost unitar]]*Table2[[#This Row],[Stoc Depozit]]</f>
        <v>0</v>
      </c>
      <c r="K506" t="s">
        <v>1013</v>
      </c>
    </row>
    <row r="507" spans="1:12" x14ac:dyDescent="0.25">
      <c r="A507" t="s">
        <v>1017</v>
      </c>
      <c r="C507" t="s">
        <v>1027</v>
      </c>
      <c r="D507" s="1">
        <v>1</v>
      </c>
      <c r="E507" s="22">
        <v>0</v>
      </c>
      <c r="F507" s="1"/>
      <c r="G507" s="1"/>
      <c r="H507" s="15"/>
      <c r="I507" s="15"/>
      <c r="J507">
        <f>Table2[[#This Row],[Cost unitar]]*Table2[[#This Row],[Stoc Depozit]]</f>
        <v>0</v>
      </c>
      <c r="K507" t="s">
        <v>1013</v>
      </c>
    </row>
    <row r="508" spans="1:12" x14ac:dyDescent="0.25">
      <c r="A508" t="s">
        <v>1018</v>
      </c>
      <c r="C508" t="s">
        <v>1028</v>
      </c>
      <c r="D508" s="1">
        <v>1</v>
      </c>
      <c r="E508" s="22">
        <v>0</v>
      </c>
      <c r="F508" s="1"/>
      <c r="G508" s="1"/>
      <c r="H508" s="15"/>
      <c r="I508" s="15"/>
      <c r="J508">
        <f>Table2[[#This Row],[Cost unitar]]*Table2[[#This Row],[Stoc Depozit]]</f>
        <v>0</v>
      </c>
      <c r="K508" t="s">
        <v>1013</v>
      </c>
    </row>
    <row r="509" spans="1:12" x14ac:dyDescent="0.25">
      <c r="A509" t="s">
        <v>1019</v>
      </c>
      <c r="C509" t="s">
        <v>1054</v>
      </c>
      <c r="D509" s="1">
        <v>1</v>
      </c>
      <c r="E509" s="22">
        <v>0</v>
      </c>
      <c r="F509" s="1"/>
      <c r="G509" s="1"/>
      <c r="H509" s="15"/>
      <c r="I509" s="15"/>
      <c r="J509">
        <f>Table2[[#This Row],[Cost unitar]]*Table2[[#This Row],[Stoc Depozit]]</f>
        <v>0</v>
      </c>
      <c r="K509" t="s">
        <v>1013</v>
      </c>
    </row>
    <row r="510" spans="1:12" x14ac:dyDescent="0.25">
      <c r="A510" t="s">
        <v>1020</v>
      </c>
      <c r="C510" t="s">
        <v>1053</v>
      </c>
      <c r="D510" s="1">
        <v>1</v>
      </c>
      <c r="E510" s="22">
        <v>0</v>
      </c>
      <c r="F510" s="1"/>
      <c r="G510" s="1"/>
      <c r="H510" s="15"/>
      <c r="I510" s="15"/>
      <c r="J510">
        <f>Table2[[#This Row],[Cost unitar]]*Table2[[#This Row],[Stoc Depozit]]</f>
        <v>0</v>
      </c>
      <c r="K510" t="s">
        <v>1286</v>
      </c>
    </row>
    <row r="511" spans="1:12" x14ac:dyDescent="0.25">
      <c r="A511" t="s">
        <v>1021</v>
      </c>
      <c r="C511" t="s">
        <v>1055</v>
      </c>
      <c r="D511" s="1">
        <v>1</v>
      </c>
      <c r="E511" s="22">
        <v>0</v>
      </c>
      <c r="F511" s="1"/>
      <c r="G511" s="1"/>
      <c r="H511" s="15"/>
      <c r="I511" s="15"/>
      <c r="J511">
        <f>Table2[[#This Row],[Cost unitar]]*Table2[[#This Row],[Stoc Depozit]]</f>
        <v>0</v>
      </c>
      <c r="K511" t="s">
        <v>1013</v>
      </c>
    </row>
    <row r="512" spans="1:12" x14ac:dyDescent="0.25">
      <c r="A512" t="s">
        <v>1022</v>
      </c>
      <c r="C512" t="s">
        <v>1056</v>
      </c>
      <c r="D512" s="1">
        <v>0</v>
      </c>
      <c r="E512" s="22">
        <v>1</v>
      </c>
      <c r="F512" s="1"/>
      <c r="G512" s="1"/>
      <c r="H512" s="15"/>
      <c r="I512" s="15"/>
      <c r="J512">
        <f>Table2[[#This Row],[Cost unitar]]*Table2[[#This Row],[Stoc Depozit]]</f>
        <v>0</v>
      </c>
      <c r="K512" t="s">
        <v>1292</v>
      </c>
    </row>
    <row r="513" spans="1:12" x14ac:dyDescent="0.25">
      <c r="A513" t="s">
        <v>1281</v>
      </c>
      <c r="C513" t="s">
        <v>1283</v>
      </c>
      <c r="D513" s="1"/>
      <c r="E513" s="22"/>
      <c r="F513" s="1"/>
      <c r="G513" s="1"/>
      <c r="H513" s="50"/>
      <c r="I513" s="50"/>
      <c r="J513">
        <f>Table2[[#This Row],[Cost unitar]]*Table2[[#This Row],[Stoc Depozit]]</f>
        <v>0</v>
      </c>
      <c r="K513" t="s">
        <v>1292</v>
      </c>
    </row>
    <row r="514" spans="1:12" x14ac:dyDescent="0.25">
      <c r="A514" t="s">
        <v>1282</v>
      </c>
      <c r="C514" t="s">
        <v>1284</v>
      </c>
      <c r="D514" s="1"/>
      <c r="E514" s="22"/>
      <c r="F514" s="1"/>
      <c r="G514" s="1"/>
      <c r="H514" s="50"/>
      <c r="I514" s="50"/>
      <c r="J514">
        <f>Table2[[#This Row],[Cost unitar]]*Table2[[#This Row],[Stoc Depozit]]</f>
        <v>0</v>
      </c>
      <c r="K514" t="s">
        <v>1292</v>
      </c>
    </row>
    <row r="515" spans="1:12" x14ac:dyDescent="0.25">
      <c r="A515" t="s">
        <v>1023</v>
      </c>
      <c r="C515" t="s">
        <v>1057</v>
      </c>
      <c r="D515" s="1">
        <v>1</v>
      </c>
      <c r="E515" s="22">
        <v>0</v>
      </c>
      <c r="F515" s="1"/>
      <c r="G515" s="1"/>
      <c r="H515" s="15"/>
      <c r="I515" s="15"/>
      <c r="J515">
        <f>Table2[[#This Row],[Cost unitar]]*Table2[[#This Row],[Stoc Depozit]]</f>
        <v>0</v>
      </c>
      <c r="K515" t="s">
        <v>1013</v>
      </c>
    </row>
    <row r="516" spans="1:12" x14ac:dyDescent="0.25">
      <c r="A516" t="s">
        <v>1024</v>
      </c>
      <c r="C516" t="s">
        <v>1058</v>
      </c>
      <c r="D516" s="1">
        <v>1</v>
      </c>
      <c r="E516" s="22">
        <v>0</v>
      </c>
      <c r="F516" s="1"/>
      <c r="G516" s="1"/>
      <c r="H516" s="50"/>
      <c r="I516" s="50"/>
      <c r="J516">
        <f>Table2[[#This Row],[Cost unitar]]*Table2[[#This Row],[Stoc Depozit]]</f>
        <v>0</v>
      </c>
      <c r="K516" t="s">
        <v>1013</v>
      </c>
    </row>
    <row r="517" spans="1:12" x14ac:dyDescent="0.25">
      <c r="A517" t="s">
        <v>1029</v>
      </c>
      <c r="C517" t="s">
        <v>1061</v>
      </c>
      <c r="D517" s="1">
        <v>1</v>
      </c>
      <c r="E517" s="22">
        <v>0</v>
      </c>
      <c r="F517" s="1"/>
      <c r="G517" s="1"/>
      <c r="H517" s="50"/>
      <c r="I517" s="50"/>
      <c r="J517">
        <f>Table2[[#This Row],[Cost unitar]]*Table2[[#This Row],[Stoc Depozit]]</f>
        <v>0</v>
      </c>
      <c r="K517" t="s">
        <v>1013</v>
      </c>
    </row>
    <row r="518" spans="1:12" x14ac:dyDescent="0.25">
      <c r="A518" t="s">
        <v>1030</v>
      </c>
      <c r="C518" t="s">
        <v>1059</v>
      </c>
      <c r="D518" s="1">
        <v>1</v>
      </c>
      <c r="E518" s="22">
        <v>0</v>
      </c>
      <c r="F518" s="1"/>
      <c r="G518" s="1"/>
      <c r="H518" s="50"/>
      <c r="I518" s="50"/>
      <c r="J518">
        <f>Table2[[#This Row],[Cost unitar]]*Table2[[#This Row],[Stoc Depozit]]</f>
        <v>0</v>
      </c>
      <c r="K518" t="s">
        <v>1013</v>
      </c>
    </row>
    <row r="519" spans="1:12" x14ac:dyDescent="0.25">
      <c r="A519" t="s">
        <v>1031</v>
      </c>
      <c r="C519" t="s">
        <v>1060</v>
      </c>
      <c r="D519" s="1">
        <v>1</v>
      </c>
      <c r="E519" s="22">
        <v>0</v>
      </c>
      <c r="F519" s="1"/>
      <c r="G519" s="1"/>
      <c r="H519" s="50"/>
      <c r="I519" s="50"/>
      <c r="J519">
        <f>Table2[[#This Row],[Cost unitar]]*Table2[[#This Row],[Stoc Depozit]]</f>
        <v>0</v>
      </c>
      <c r="K519" t="s">
        <v>1013</v>
      </c>
    </row>
    <row r="520" spans="1:12" x14ac:dyDescent="0.25">
      <c r="A520" t="s">
        <v>1032</v>
      </c>
      <c r="C520" t="s">
        <v>1062</v>
      </c>
      <c r="D520" s="1">
        <v>1</v>
      </c>
      <c r="E520" s="22">
        <v>0</v>
      </c>
      <c r="F520" s="1"/>
      <c r="G520" s="1"/>
      <c r="H520" s="50"/>
      <c r="I520" s="50"/>
      <c r="J520">
        <f>Table2[[#This Row],[Cost unitar]]*Table2[[#This Row],[Stoc Depozit]]</f>
        <v>0</v>
      </c>
      <c r="K520" t="s">
        <v>1013</v>
      </c>
    </row>
    <row r="521" spans="1:12" x14ac:dyDescent="0.25">
      <c r="A521" t="s">
        <v>1033</v>
      </c>
      <c r="C521" t="s">
        <v>1063</v>
      </c>
      <c r="D521" s="1">
        <v>1</v>
      </c>
      <c r="E521" s="22">
        <v>0</v>
      </c>
      <c r="F521" s="1"/>
      <c r="G521" s="1"/>
      <c r="H521" s="50"/>
      <c r="I521" s="50"/>
      <c r="J521">
        <f>Table2[[#This Row],[Cost unitar]]*Table2[[#This Row],[Stoc Depozit]]</f>
        <v>0</v>
      </c>
      <c r="K521" t="s">
        <v>1013</v>
      </c>
    </row>
    <row r="522" spans="1:12" x14ac:dyDescent="0.25">
      <c r="A522" t="s">
        <v>1034</v>
      </c>
      <c r="C522" t="s">
        <v>1064</v>
      </c>
      <c r="D522" s="1">
        <v>1</v>
      </c>
      <c r="E522" s="22">
        <v>0</v>
      </c>
      <c r="F522" s="1"/>
      <c r="G522" s="1"/>
      <c r="H522" s="50"/>
      <c r="I522" s="50"/>
      <c r="J522">
        <f>Table2[[#This Row],[Cost unitar]]*Table2[[#This Row],[Stoc Depozit]]</f>
        <v>0</v>
      </c>
      <c r="K522" t="s">
        <v>1013</v>
      </c>
    </row>
    <row r="523" spans="1:12" x14ac:dyDescent="0.25">
      <c r="A523" t="s">
        <v>1035</v>
      </c>
      <c r="C523" t="s">
        <v>1065</v>
      </c>
      <c r="D523" s="1">
        <v>1</v>
      </c>
      <c r="E523" s="22">
        <v>0</v>
      </c>
      <c r="F523" s="1"/>
      <c r="G523" s="1"/>
      <c r="H523" s="50"/>
      <c r="I523" s="50"/>
      <c r="J523">
        <f>Table2[[#This Row],[Cost unitar]]*Table2[[#This Row],[Stoc Depozit]]</f>
        <v>0</v>
      </c>
      <c r="K523" t="s">
        <v>1013</v>
      </c>
    </row>
    <row r="524" spans="1:12" x14ac:dyDescent="0.25">
      <c r="A524" t="s">
        <v>1036</v>
      </c>
      <c r="C524" t="s">
        <v>1066</v>
      </c>
      <c r="D524" s="1">
        <v>1</v>
      </c>
      <c r="E524" s="22">
        <v>0</v>
      </c>
      <c r="F524" s="1"/>
      <c r="G524" s="1"/>
      <c r="H524" s="50"/>
      <c r="I524" s="50"/>
      <c r="J524">
        <f>Table2[[#This Row],[Cost unitar]]*Table2[[#This Row],[Stoc Depozit]]</f>
        <v>0</v>
      </c>
      <c r="K524" t="s">
        <v>1013</v>
      </c>
    </row>
    <row r="525" spans="1:12" x14ac:dyDescent="0.25">
      <c r="A525" t="s">
        <v>1037</v>
      </c>
      <c r="C525" t="s">
        <v>1067</v>
      </c>
      <c r="D525" s="1">
        <v>0</v>
      </c>
      <c r="E525" s="22">
        <v>0</v>
      </c>
      <c r="F525" s="1"/>
      <c r="G525" s="1"/>
      <c r="H525" s="50"/>
      <c r="I525" s="50"/>
      <c r="J525">
        <f>Table2[[#This Row],[Cost unitar]]*Table2[[#This Row],[Stoc Depozit]]</f>
        <v>0</v>
      </c>
      <c r="K525" t="s">
        <v>1274</v>
      </c>
      <c r="L525" t="s">
        <v>824</v>
      </c>
    </row>
    <row r="526" spans="1:12" x14ac:dyDescent="0.25">
      <c r="A526" t="s">
        <v>1038</v>
      </c>
      <c r="C526" t="s">
        <v>1068</v>
      </c>
      <c r="D526" s="1">
        <v>0</v>
      </c>
      <c r="E526" s="22">
        <v>0</v>
      </c>
      <c r="F526" s="1"/>
      <c r="G526" s="1"/>
      <c r="H526" s="50"/>
      <c r="I526" s="50"/>
      <c r="J526">
        <f>Table2[[#This Row],[Cost unitar]]*Table2[[#This Row],[Stoc Depozit]]</f>
        <v>0</v>
      </c>
      <c r="K526" t="s">
        <v>1273</v>
      </c>
      <c r="L526" t="s">
        <v>1087</v>
      </c>
    </row>
    <row r="527" spans="1:12" x14ac:dyDescent="0.25">
      <c r="A527" t="s">
        <v>1039</v>
      </c>
      <c r="C527" t="s">
        <v>1069</v>
      </c>
      <c r="D527" s="1">
        <v>1</v>
      </c>
      <c r="E527" s="22">
        <v>0</v>
      </c>
      <c r="F527" s="1"/>
      <c r="G527" s="1"/>
      <c r="H527" s="50"/>
      <c r="I527" s="50"/>
      <c r="J527">
        <f>Table2[[#This Row],[Cost unitar]]*Table2[[#This Row],[Stoc Depozit]]</f>
        <v>0</v>
      </c>
      <c r="K527" t="s">
        <v>1013</v>
      </c>
    </row>
    <row r="528" spans="1:12" x14ac:dyDescent="0.25">
      <c r="A528" t="s">
        <v>1040</v>
      </c>
      <c r="C528" t="s">
        <v>1070</v>
      </c>
      <c r="D528" s="1">
        <v>1</v>
      </c>
      <c r="E528" s="22">
        <v>0</v>
      </c>
      <c r="F528" s="1"/>
      <c r="G528" s="1"/>
      <c r="H528" s="50"/>
      <c r="I528" s="50"/>
      <c r="J528">
        <f>Table2[[#This Row],[Cost unitar]]*Table2[[#This Row],[Stoc Depozit]]</f>
        <v>0</v>
      </c>
      <c r="K528" t="s">
        <v>1013</v>
      </c>
    </row>
    <row r="529" spans="1:11" x14ac:dyDescent="0.25">
      <c r="A529" t="s">
        <v>1041</v>
      </c>
      <c r="C529" t="s">
        <v>1071</v>
      </c>
      <c r="D529" s="1">
        <v>1</v>
      </c>
      <c r="E529" s="22">
        <v>0</v>
      </c>
      <c r="F529" s="1"/>
      <c r="G529" s="1"/>
      <c r="H529" s="50"/>
      <c r="I529" s="50"/>
      <c r="J529">
        <f>Table2[[#This Row],[Cost unitar]]*Table2[[#This Row],[Stoc Depozit]]</f>
        <v>0</v>
      </c>
      <c r="K529" t="s">
        <v>1013</v>
      </c>
    </row>
    <row r="530" spans="1:11" x14ac:dyDescent="0.25">
      <c r="A530" t="s">
        <v>1042</v>
      </c>
      <c r="C530" t="s">
        <v>1072</v>
      </c>
      <c r="D530" s="1">
        <v>1</v>
      </c>
      <c r="E530" s="22">
        <v>0</v>
      </c>
      <c r="F530" s="1"/>
      <c r="G530" s="1"/>
      <c r="H530" s="50"/>
      <c r="I530" s="50"/>
      <c r="J530">
        <f>Table2[[#This Row],[Cost unitar]]*Table2[[#This Row],[Stoc Depozit]]</f>
        <v>0</v>
      </c>
      <c r="K530" t="s">
        <v>1013</v>
      </c>
    </row>
    <row r="531" spans="1:11" x14ac:dyDescent="0.25">
      <c r="A531" t="s">
        <v>1043</v>
      </c>
      <c r="C531" t="s">
        <v>1073</v>
      </c>
      <c r="D531" s="1">
        <v>1</v>
      </c>
      <c r="E531" s="22">
        <v>0</v>
      </c>
      <c r="F531" s="1"/>
      <c r="G531" s="1"/>
      <c r="H531" s="50"/>
      <c r="I531" s="50"/>
      <c r="J531">
        <f>Table2[[#This Row],[Cost unitar]]*Table2[[#This Row],[Stoc Depozit]]</f>
        <v>0</v>
      </c>
      <c r="K531" t="s">
        <v>1013</v>
      </c>
    </row>
    <row r="532" spans="1:11" x14ac:dyDescent="0.25">
      <c r="A532" s="48" t="s">
        <v>1044</v>
      </c>
      <c r="B532" s="44"/>
      <c r="C532" s="48" t="s">
        <v>629</v>
      </c>
      <c r="D532" s="1">
        <v>0</v>
      </c>
      <c r="E532" s="1">
        <v>1</v>
      </c>
      <c r="F532" s="1"/>
      <c r="G532" s="1"/>
      <c r="H532" s="50"/>
      <c r="I532" s="50"/>
      <c r="J532">
        <f>Table2[[#This Row],[Cost unitar]]*Table2[[#This Row],[Stoc Depozit]]</f>
        <v>0</v>
      </c>
      <c r="K532" t="s">
        <v>1088</v>
      </c>
    </row>
    <row r="533" spans="1:11" x14ac:dyDescent="0.25">
      <c r="A533" s="48" t="s">
        <v>1078</v>
      </c>
      <c r="B533" s="44"/>
      <c r="C533" s="48" t="s">
        <v>1074</v>
      </c>
      <c r="D533" s="1">
        <v>0</v>
      </c>
      <c r="E533" s="1">
        <v>1</v>
      </c>
      <c r="F533" s="1"/>
      <c r="G533" s="1"/>
      <c r="H533" s="50"/>
      <c r="I533" s="50"/>
      <c r="J533">
        <f>Table2[[#This Row],[Cost unitar]]*Table2[[#This Row],[Stoc Depozit]]</f>
        <v>0</v>
      </c>
      <c r="K533" t="s">
        <v>1088</v>
      </c>
    </row>
    <row r="534" spans="1:11" x14ac:dyDescent="0.25">
      <c r="A534" s="48" t="s">
        <v>1079</v>
      </c>
      <c r="B534" s="44"/>
      <c r="C534" s="48" t="s">
        <v>636</v>
      </c>
      <c r="D534" s="1">
        <v>0</v>
      </c>
      <c r="E534" s="1">
        <v>1</v>
      </c>
      <c r="F534" s="1"/>
      <c r="G534" s="1"/>
      <c r="H534" s="50"/>
      <c r="I534" s="50"/>
      <c r="J534">
        <f>Table2[[#This Row],[Cost unitar]]*Table2[[#This Row],[Stoc Depozit]]</f>
        <v>0</v>
      </c>
      <c r="K534" t="s">
        <v>1088</v>
      </c>
    </row>
    <row r="535" spans="1:11" x14ac:dyDescent="0.25">
      <c r="A535" s="48" t="s">
        <v>1080</v>
      </c>
      <c r="B535" s="44"/>
      <c r="C535" s="48" t="s">
        <v>1075</v>
      </c>
      <c r="D535" s="1">
        <v>0</v>
      </c>
      <c r="E535" s="1">
        <v>1</v>
      </c>
      <c r="F535" s="1"/>
      <c r="G535" s="1"/>
      <c r="H535" s="50"/>
      <c r="I535" s="50"/>
      <c r="J535">
        <f>Table2[[#This Row],[Cost unitar]]*Table2[[#This Row],[Stoc Depozit]]</f>
        <v>0</v>
      </c>
      <c r="K535" t="s">
        <v>1088</v>
      </c>
    </row>
    <row r="536" spans="1:11" x14ac:dyDescent="0.25">
      <c r="A536" s="48" t="s">
        <v>1081</v>
      </c>
      <c r="B536" s="44"/>
      <c r="C536" s="48" t="s">
        <v>631</v>
      </c>
      <c r="D536" s="1">
        <v>0</v>
      </c>
      <c r="E536" s="1">
        <v>1</v>
      </c>
      <c r="F536" s="1"/>
      <c r="G536" s="1"/>
      <c r="H536" s="50"/>
      <c r="I536" s="50"/>
      <c r="J536">
        <f>Table2[[#This Row],[Cost unitar]]*Table2[[#This Row],[Stoc Depozit]]</f>
        <v>0</v>
      </c>
      <c r="K536" t="s">
        <v>1088</v>
      </c>
    </row>
    <row r="537" spans="1:11" x14ac:dyDescent="0.25">
      <c r="A537" s="48" t="s">
        <v>1082</v>
      </c>
      <c r="B537" s="44"/>
      <c r="C537" s="48" t="s">
        <v>637</v>
      </c>
      <c r="D537" s="1">
        <v>0</v>
      </c>
      <c r="E537" s="1">
        <v>1</v>
      </c>
      <c r="F537" s="1"/>
      <c r="G537" s="1"/>
      <c r="H537" s="50"/>
      <c r="I537" s="50"/>
      <c r="J537">
        <f>Table2[[#This Row],[Cost unitar]]*Table2[[#This Row],[Stoc Depozit]]</f>
        <v>0</v>
      </c>
      <c r="K537" t="s">
        <v>1088</v>
      </c>
    </row>
    <row r="538" spans="1:11" x14ac:dyDescent="0.25">
      <c r="A538" s="48" t="s">
        <v>1083</v>
      </c>
      <c r="B538" s="44"/>
      <c r="C538" s="48" t="s">
        <v>1076</v>
      </c>
      <c r="D538" s="1">
        <v>0</v>
      </c>
      <c r="E538" s="1">
        <v>1</v>
      </c>
      <c r="F538" s="1"/>
      <c r="G538" s="1"/>
      <c r="H538" s="50"/>
      <c r="I538" s="50"/>
      <c r="J538">
        <f>Table2[[#This Row],[Cost unitar]]*Table2[[#This Row],[Stoc Depozit]]</f>
        <v>0</v>
      </c>
      <c r="K538" t="s">
        <v>1088</v>
      </c>
    </row>
    <row r="539" spans="1:11" x14ac:dyDescent="0.25">
      <c r="A539" s="48" t="s">
        <v>1084</v>
      </c>
      <c r="B539" s="44"/>
      <c r="C539" s="48" t="s">
        <v>1077</v>
      </c>
      <c r="D539" s="1">
        <v>0</v>
      </c>
      <c r="E539" s="1">
        <v>1</v>
      </c>
      <c r="F539" s="1"/>
      <c r="G539" s="1"/>
      <c r="H539" s="50"/>
      <c r="I539" s="50"/>
      <c r="J539">
        <f>Table2[[#This Row],[Cost unitar]]*Table2[[#This Row],[Stoc Depozit]]</f>
        <v>0</v>
      </c>
      <c r="K539" t="s">
        <v>1088</v>
      </c>
    </row>
    <row r="540" spans="1:11" x14ac:dyDescent="0.25">
      <c r="A540" s="48" t="s">
        <v>1085</v>
      </c>
      <c r="B540" s="44"/>
      <c r="C540" s="48" t="s">
        <v>631</v>
      </c>
      <c r="D540" s="1">
        <v>0</v>
      </c>
      <c r="E540" s="1">
        <v>1</v>
      </c>
      <c r="F540" s="1"/>
      <c r="G540" s="1"/>
      <c r="H540" s="50"/>
      <c r="I540" s="50"/>
      <c r="J540">
        <f>Table2[[#This Row],[Cost unitar]]*Table2[[#This Row],[Stoc Depozit]]</f>
        <v>0</v>
      </c>
      <c r="K540" t="s">
        <v>1088</v>
      </c>
    </row>
    <row r="541" spans="1:11" x14ac:dyDescent="0.25">
      <c r="A541" s="48" t="s">
        <v>1086</v>
      </c>
      <c r="B541" s="44"/>
      <c r="C541" s="48" t="s">
        <v>635</v>
      </c>
      <c r="D541" s="1">
        <v>0</v>
      </c>
      <c r="E541" s="1">
        <v>1</v>
      </c>
      <c r="F541" s="1"/>
      <c r="G541" s="1"/>
      <c r="H541" s="50"/>
      <c r="I541" s="50"/>
      <c r="J541">
        <f>Table2[[#This Row],[Cost unitar]]*Table2[[#This Row],[Stoc Depozit]]</f>
        <v>0</v>
      </c>
      <c r="K541" t="s">
        <v>1088</v>
      </c>
    </row>
    <row r="542" spans="1:11" x14ac:dyDescent="0.25">
      <c r="A542" t="s">
        <v>1045</v>
      </c>
      <c r="C542" t="s">
        <v>1089</v>
      </c>
      <c r="D542" s="1">
        <v>0</v>
      </c>
      <c r="E542" s="1">
        <v>1</v>
      </c>
      <c r="F542" s="1"/>
      <c r="G542" s="1"/>
      <c r="H542" s="50"/>
      <c r="I542" s="50"/>
      <c r="J542">
        <f>Table2[[#This Row],[Cost unitar]]*Table2[[#This Row],[Stoc Depozit]]</f>
        <v>0</v>
      </c>
      <c r="K542" t="s">
        <v>1088</v>
      </c>
    </row>
    <row r="543" spans="1:11" x14ac:dyDescent="0.25">
      <c r="A543" t="s">
        <v>1046</v>
      </c>
      <c r="C543" t="s">
        <v>1258</v>
      </c>
      <c r="D543" s="1">
        <v>1</v>
      </c>
      <c r="E543" s="1">
        <v>0</v>
      </c>
      <c r="F543" s="1"/>
      <c r="G543" s="1"/>
      <c r="H543" s="50"/>
      <c r="I543" s="50"/>
      <c r="J543">
        <f>Table2[[#This Row],[Cost unitar]]*Table2[[#This Row],[Stoc Depozit]]</f>
        <v>0</v>
      </c>
      <c r="K543" t="s">
        <v>1279</v>
      </c>
    </row>
    <row r="544" spans="1:11" x14ac:dyDescent="0.25">
      <c r="A544" t="s">
        <v>1047</v>
      </c>
      <c r="C544" t="s">
        <v>1269</v>
      </c>
      <c r="D544" s="1">
        <v>1</v>
      </c>
      <c r="E544" s="1">
        <v>0</v>
      </c>
      <c r="F544" s="1"/>
      <c r="G544" s="1"/>
      <c r="H544" s="50"/>
      <c r="I544" s="50"/>
      <c r="J544">
        <f>Table2[[#This Row],[Cost unitar]]*Table2[[#This Row],[Stoc Depozit]]</f>
        <v>0</v>
      </c>
    </row>
    <row r="545" spans="1:12" x14ac:dyDescent="0.25">
      <c r="A545" t="s">
        <v>1048</v>
      </c>
      <c r="C545" t="s">
        <v>1270</v>
      </c>
      <c r="D545" s="1">
        <v>1</v>
      </c>
      <c r="E545" s="1">
        <v>0</v>
      </c>
      <c r="F545" s="1"/>
      <c r="G545" s="1"/>
      <c r="H545" s="50"/>
      <c r="I545" s="50"/>
      <c r="J545">
        <f>Table2[[#This Row],[Cost unitar]]*Table2[[#This Row],[Stoc Depozit]]</f>
        <v>0</v>
      </c>
    </row>
    <row r="546" spans="1:12" x14ac:dyDescent="0.25">
      <c r="A546" t="s">
        <v>1049</v>
      </c>
      <c r="C546" t="s">
        <v>1271</v>
      </c>
      <c r="D546" s="1">
        <v>1</v>
      </c>
      <c r="E546" s="1">
        <v>0</v>
      </c>
      <c r="F546" s="1"/>
      <c r="G546" s="1"/>
      <c r="H546" s="50"/>
      <c r="I546" s="50"/>
      <c r="J546">
        <f>Table2[[#This Row],[Cost unitar]]*Table2[[#This Row],[Stoc Depozit]]</f>
        <v>0</v>
      </c>
    </row>
    <row r="547" spans="1:12" x14ac:dyDescent="0.25">
      <c r="A547" t="s">
        <v>1050</v>
      </c>
      <c r="C547" t="s">
        <v>1271</v>
      </c>
      <c r="D547" s="1">
        <v>1</v>
      </c>
      <c r="E547" s="1">
        <v>0</v>
      </c>
      <c r="F547" s="1"/>
      <c r="G547" s="1"/>
      <c r="H547" s="50"/>
      <c r="I547" s="50"/>
      <c r="J547">
        <f>Table2[[#This Row],[Cost unitar]]*Table2[[#This Row],[Stoc Depozit]]</f>
        <v>0</v>
      </c>
    </row>
    <row r="548" spans="1:12" x14ac:dyDescent="0.25">
      <c r="A548" t="s">
        <v>1051</v>
      </c>
      <c r="C548" t="s">
        <v>1272</v>
      </c>
      <c r="D548" s="1">
        <v>0</v>
      </c>
      <c r="E548" s="1">
        <v>0</v>
      </c>
      <c r="F548" s="1"/>
      <c r="G548" s="1"/>
      <c r="H548" s="50"/>
      <c r="I548" s="50"/>
      <c r="J548">
        <f>Table2[[#This Row],[Cost unitar]]*Table2[[#This Row],[Stoc Depozit]]</f>
        <v>0</v>
      </c>
    </row>
    <row r="549" spans="1:12" x14ac:dyDescent="0.25">
      <c r="A549" t="s">
        <v>1052</v>
      </c>
      <c r="C549" t="s">
        <v>1275</v>
      </c>
      <c r="D549" s="1">
        <v>0</v>
      </c>
      <c r="E549" s="1">
        <v>0</v>
      </c>
      <c r="F549" s="1"/>
      <c r="G549" s="1"/>
      <c r="H549" s="50"/>
      <c r="I549" s="50"/>
      <c r="J549">
        <f>Table2[[#This Row],[Cost unitar]]*Table2[[#This Row],[Stoc Depozit]]</f>
        <v>0</v>
      </c>
      <c r="K549" t="s">
        <v>1276</v>
      </c>
      <c r="L549" t="s">
        <v>824</v>
      </c>
    </row>
    <row r="550" spans="1:12" x14ac:dyDescent="0.25">
      <c r="D550" s="1"/>
      <c r="E550" s="1"/>
      <c r="F550" s="1"/>
      <c r="G550" s="1"/>
      <c r="H550" s="50"/>
      <c r="I550" s="50"/>
      <c r="J550">
        <f>Table2[[#This Row],[Cost unitar]]*Table2[[#This Row],[Stoc Depozit]]</f>
        <v>0</v>
      </c>
      <c r="K550" t="s">
        <v>1276</v>
      </c>
      <c r="L550" t="s">
        <v>824</v>
      </c>
    </row>
    <row r="551" spans="1:12" x14ac:dyDescent="0.25">
      <c r="D551" s="1"/>
      <c r="E551" s="1"/>
      <c r="F551" s="1"/>
      <c r="G551" s="1"/>
      <c r="H551" s="50"/>
      <c r="I551" s="50"/>
      <c r="J551">
        <f>Table2[[#This Row],[Cost unitar]]*Table2[[#This Row],[Stoc Depozit]]</f>
        <v>0</v>
      </c>
    </row>
    <row r="552" spans="1:12" x14ac:dyDescent="0.25">
      <c r="D552" s="1"/>
      <c r="E552" s="1"/>
      <c r="F552" s="1"/>
      <c r="G552" s="1"/>
      <c r="H552" s="50"/>
      <c r="I552" s="50"/>
      <c r="J552">
        <f>Table2[[#This Row],[Cost unitar]]*Table2[[#This Row],[Stoc Depozit]]</f>
        <v>0</v>
      </c>
    </row>
    <row r="553" spans="1:12" x14ac:dyDescent="0.25">
      <c r="D553" s="1"/>
      <c r="E553" s="1"/>
      <c r="F553" s="1"/>
      <c r="G553" s="1"/>
      <c r="H553" s="50"/>
      <c r="I553" s="50"/>
      <c r="J553">
        <f>Table2[[#This Row],[Cost unitar]]*Table2[[#This Row],[Stoc Depozit]]</f>
        <v>0</v>
      </c>
    </row>
    <row r="554" spans="1:12" x14ac:dyDescent="0.25">
      <c r="D554" s="1"/>
      <c r="E554" s="1"/>
      <c r="F554" s="1"/>
      <c r="G554" s="1"/>
      <c r="H554" s="50"/>
      <c r="I554" s="50"/>
      <c r="J554">
        <f>Table2[[#This Row],[Cost unitar]]*Table2[[#This Row],[Stoc Depozit]]</f>
        <v>0</v>
      </c>
    </row>
    <row r="555" spans="1:12" x14ac:dyDescent="0.25">
      <c r="D555" s="1"/>
      <c r="E555" s="1"/>
      <c r="F555" s="1"/>
      <c r="G555" s="1"/>
      <c r="H555" s="50"/>
      <c r="I555" s="50"/>
      <c r="J555">
        <f>Table2[[#This Row],[Cost unitar]]*Table2[[#This Row],[Stoc Depozit]]</f>
        <v>0</v>
      </c>
    </row>
    <row r="556" spans="1:12" x14ac:dyDescent="0.25">
      <c r="D556" s="1"/>
      <c r="E556" s="1"/>
      <c r="F556" s="1"/>
      <c r="G556" s="1"/>
      <c r="H556" s="50"/>
      <c r="I556" s="50"/>
      <c r="J556">
        <f>Table2[[#This Row],[Cost unitar]]*Table2[[#This Row],[Stoc Depozit]]</f>
        <v>0</v>
      </c>
    </row>
    <row r="557" spans="1:12" x14ac:dyDescent="0.25">
      <c r="D557" s="1"/>
      <c r="E557" s="1"/>
      <c r="F557" s="1"/>
      <c r="G557" s="1"/>
      <c r="H557" s="50"/>
      <c r="I557" s="50"/>
      <c r="J557">
        <f>Table2[[#This Row],[Cost unitar]]*Table2[[#This Row],[Stoc Depozit]]</f>
        <v>0</v>
      </c>
    </row>
    <row r="558" spans="1:12" x14ac:dyDescent="0.25">
      <c r="D558" s="1"/>
      <c r="E558" s="1"/>
      <c r="F558" s="1"/>
      <c r="G558" s="1"/>
      <c r="H558" s="50"/>
      <c r="I558" s="50"/>
      <c r="J558">
        <f>Table2[[#This Row],[Cost unitar]]*Table2[[#This Row],[Stoc Depozit]]</f>
        <v>0</v>
      </c>
    </row>
    <row r="559" spans="1:12" x14ac:dyDescent="0.25">
      <c r="D559" s="1"/>
      <c r="E559" s="1"/>
      <c r="F559" s="1"/>
      <c r="G559" s="1"/>
      <c r="H559" s="50"/>
      <c r="I559" s="50"/>
      <c r="J559">
        <f>Table2[[#This Row],[Cost unitar]]*Table2[[#This Row],[Stoc Depozit]]</f>
        <v>0</v>
      </c>
    </row>
    <row r="560" spans="1:12" x14ac:dyDescent="0.25">
      <c r="D560" s="1"/>
      <c r="E560" s="1"/>
      <c r="F560" s="1"/>
      <c r="G560" s="1"/>
      <c r="H560" s="50"/>
      <c r="I560" s="50"/>
      <c r="J560">
        <f>Table2[[#This Row],[Cost unitar]]*Table2[[#This Row],[Stoc Depozit]]</f>
        <v>0</v>
      </c>
    </row>
    <row r="561" spans="4:10" x14ac:dyDescent="0.25">
      <c r="D561" s="1"/>
      <c r="E561" s="1"/>
      <c r="F561" s="1"/>
      <c r="G561" s="1"/>
      <c r="H561" s="50"/>
      <c r="I561" s="50"/>
      <c r="J561">
        <f>Table2[[#This Row],[Cost unitar]]*Table2[[#This Row],[Stoc Depozit]]</f>
        <v>0</v>
      </c>
    </row>
    <row r="562" spans="4:10" x14ac:dyDescent="0.25">
      <c r="D562" s="1"/>
      <c r="E562" s="1"/>
      <c r="F562" s="1"/>
      <c r="G562" s="1"/>
      <c r="H562" s="50"/>
      <c r="I562" s="50"/>
      <c r="J562">
        <f>Table2[[#This Row],[Cost unitar]]*Table2[[#This Row],[Stoc Depozit]]</f>
        <v>0</v>
      </c>
    </row>
    <row r="563" spans="4:10" x14ac:dyDescent="0.25">
      <c r="D563" s="1"/>
      <c r="E563" s="1"/>
      <c r="F563" s="1"/>
      <c r="G563" s="1"/>
      <c r="H563" s="50"/>
      <c r="I563" s="50"/>
      <c r="J563">
        <f>Table2[[#This Row],[Cost unitar]]*Table2[[#This Row],[Stoc Depozit]]</f>
        <v>0</v>
      </c>
    </row>
    <row r="564" spans="4:10" x14ac:dyDescent="0.25">
      <c r="D564" s="1"/>
      <c r="E564" s="1"/>
      <c r="F564" s="1"/>
      <c r="G564" s="1"/>
      <c r="H564" s="50"/>
      <c r="I564" s="50"/>
      <c r="J564">
        <f>Table2[[#This Row],[Cost unitar]]*Table2[[#This Row],[Stoc Depozit]]</f>
        <v>0</v>
      </c>
    </row>
    <row r="565" spans="4:10" x14ac:dyDescent="0.25">
      <c r="D565" s="1"/>
      <c r="E565" s="1"/>
      <c r="F565" s="1"/>
      <c r="G565" s="1"/>
      <c r="H565" s="50"/>
      <c r="I565" s="50"/>
      <c r="J565">
        <f>Table2[[#This Row],[Cost unitar]]*Table2[[#This Row],[Stoc Depozit]]</f>
        <v>0</v>
      </c>
    </row>
    <row r="566" spans="4:10" x14ac:dyDescent="0.25">
      <c r="D566" s="1"/>
      <c r="E566" s="1"/>
      <c r="F566" s="1"/>
      <c r="G566" s="1"/>
      <c r="H566" s="50"/>
      <c r="I566" s="50"/>
      <c r="J566">
        <f>Table2[[#This Row],[Cost unitar]]*Table2[[#This Row],[Stoc Depozit]]</f>
        <v>0</v>
      </c>
    </row>
    <row r="567" spans="4:10" x14ac:dyDescent="0.25">
      <c r="D567" s="1"/>
      <c r="E567" s="1"/>
      <c r="F567" s="1"/>
      <c r="G567" s="1"/>
      <c r="H567" s="50"/>
      <c r="I567" s="50"/>
      <c r="J567">
        <f>Table2[[#This Row],[Cost unitar]]*Table2[[#This Row],[Stoc Depozit]]</f>
        <v>0</v>
      </c>
    </row>
    <row r="568" spans="4:10" x14ac:dyDescent="0.25">
      <c r="D568" s="1"/>
      <c r="E568" s="1"/>
      <c r="F568" s="1"/>
      <c r="G568" s="1"/>
      <c r="H568" s="50"/>
      <c r="I568" s="50"/>
      <c r="J568">
        <f>Table2[[#This Row],[Cost unitar]]*Table2[[#This Row],[Stoc Depozit]]</f>
        <v>0</v>
      </c>
    </row>
    <row r="569" spans="4:10" x14ac:dyDescent="0.25">
      <c r="D569" s="1"/>
      <c r="E569" s="1"/>
      <c r="F569" s="1"/>
      <c r="G569" s="1"/>
      <c r="H569" s="50"/>
      <c r="I569" s="50"/>
      <c r="J569">
        <f>Table2[[#This Row],[Cost unitar]]*Table2[[#This Row],[Stoc Depozit]]</f>
        <v>0</v>
      </c>
    </row>
    <row r="570" spans="4:10" x14ac:dyDescent="0.25">
      <c r="D570" s="1"/>
      <c r="E570" s="1"/>
      <c r="F570" s="1"/>
      <c r="G570" s="1"/>
      <c r="H570" s="50"/>
      <c r="I570" s="50"/>
      <c r="J570">
        <f>Table2[[#This Row],[Cost unitar]]*Table2[[#This Row],[Stoc Depozit]]</f>
        <v>0</v>
      </c>
    </row>
    <row r="571" spans="4:10" x14ac:dyDescent="0.25">
      <c r="D571" s="1"/>
      <c r="E571" s="1"/>
      <c r="F571" s="1"/>
      <c r="G571" s="1"/>
      <c r="H571" s="50"/>
      <c r="I571" s="50"/>
      <c r="J571">
        <f>Table2[[#This Row],[Cost unitar]]*Table2[[#This Row],[Stoc Depozit]]</f>
        <v>0</v>
      </c>
    </row>
    <row r="572" spans="4:10" x14ac:dyDescent="0.25">
      <c r="D572" s="1"/>
      <c r="E572" s="1"/>
      <c r="F572" s="1"/>
      <c r="G572" s="1"/>
      <c r="H572" s="50"/>
      <c r="I572" s="50"/>
      <c r="J572">
        <f>Table2[[#This Row],[Cost unitar]]*Table2[[#This Row],[Stoc Depozit]]</f>
        <v>0</v>
      </c>
    </row>
    <row r="573" spans="4:10" x14ac:dyDescent="0.25">
      <c r="D573" s="1"/>
      <c r="E573" s="1"/>
      <c r="F573" s="1"/>
      <c r="G573" s="1"/>
      <c r="H573" s="50"/>
      <c r="I573" s="50"/>
      <c r="J573">
        <f>Table2[[#This Row],[Cost unitar]]*Table2[[#This Row],[Stoc Depozit]]</f>
        <v>0</v>
      </c>
    </row>
    <row r="574" spans="4:10" x14ac:dyDescent="0.25">
      <c r="D574" s="1"/>
      <c r="E574" s="1"/>
      <c r="F574" s="1"/>
      <c r="G574" s="1"/>
      <c r="H574" s="50"/>
      <c r="I574" s="50"/>
      <c r="J574">
        <f>Table2[[#This Row],[Cost unitar]]*Table2[[#This Row],[Stoc Depozit]]</f>
        <v>0</v>
      </c>
    </row>
    <row r="575" spans="4:10" x14ac:dyDescent="0.25">
      <c r="D575" s="1"/>
      <c r="E575" s="1"/>
      <c r="F575" s="1"/>
      <c r="G575" s="1"/>
      <c r="H575" s="50"/>
      <c r="I575" s="50"/>
      <c r="J575">
        <f>Table2[[#This Row],[Cost unitar]]*Table2[[#This Row],[Stoc Depozit]]</f>
        <v>0</v>
      </c>
    </row>
    <row r="576" spans="4:10" x14ac:dyDescent="0.25">
      <c r="D576" s="1"/>
      <c r="E576" s="1"/>
      <c r="F576" s="1"/>
      <c r="G576" s="1"/>
      <c r="H576" s="50"/>
      <c r="I576" s="50"/>
      <c r="J576">
        <f>Table2[[#This Row],[Cost unitar]]*Table2[[#This Row],[Stoc Depozit]]</f>
        <v>0</v>
      </c>
    </row>
    <row r="577" spans="4:10" x14ac:dyDescent="0.25">
      <c r="D577" s="1"/>
      <c r="E577" s="1"/>
      <c r="F577" s="1"/>
      <c r="G577" s="1"/>
      <c r="H577" s="50"/>
      <c r="I577" s="50"/>
      <c r="J577">
        <f>Table2[[#This Row],[Cost unitar]]*Table2[[#This Row],[Stoc Depozit]]</f>
        <v>0</v>
      </c>
    </row>
    <row r="578" spans="4:10" x14ac:dyDescent="0.25">
      <c r="D578" s="1"/>
      <c r="E578" s="1"/>
      <c r="F578" s="1"/>
      <c r="G578" s="1"/>
      <c r="H578" s="50"/>
      <c r="I578" s="50"/>
      <c r="J578">
        <f>Table2[[#This Row],[Cost unitar]]*Table2[[#This Row],[Stoc Depozit]]</f>
        <v>0</v>
      </c>
    </row>
    <row r="579" spans="4:10" x14ac:dyDescent="0.25">
      <c r="D579" s="1"/>
      <c r="E579" s="1"/>
      <c r="F579" s="1"/>
      <c r="G579" s="1"/>
      <c r="H579" s="50"/>
      <c r="I579" s="50"/>
      <c r="J579">
        <f>Table2[[#This Row],[Cost unitar]]*Table2[[#This Row],[Stoc Depozit]]</f>
        <v>0</v>
      </c>
    </row>
    <row r="580" spans="4:10" x14ac:dyDescent="0.25">
      <c r="D580" s="1"/>
      <c r="E580" s="1"/>
      <c r="F580" s="1"/>
      <c r="G580" s="1"/>
      <c r="H580" s="50"/>
      <c r="I580" s="50"/>
      <c r="J580">
        <f>Table2[[#This Row],[Cost unitar]]*Table2[[#This Row],[Stoc Depozit]]</f>
        <v>0</v>
      </c>
    </row>
    <row r="581" spans="4:10" x14ac:dyDescent="0.25">
      <c r="D581" s="1"/>
      <c r="E581" s="1"/>
      <c r="F581" s="1"/>
      <c r="G581" s="1"/>
      <c r="H581" s="50"/>
      <c r="I581" s="50"/>
      <c r="J581">
        <f>Table2[[#This Row],[Cost unitar]]*Table2[[#This Row],[Stoc Depozit]]</f>
        <v>0</v>
      </c>
    </row>
    <row r="582" spans="4:10" x14ac:dyDescent="0.25">
      <c r="D582" s="1"/>
      <c r="E582" s="1"/>
      <c r="F582" s="1"/>
      <c r="G582" s="1"/>
      <c r="H582" s="50"/>
      <c r="I582" s="50"/>
      <c r="J582">
        <f>Table2[[#This Row],[Cost unitar]]*Table2[[#This Row],[Stoc Depozit]]</f>
        <v>0</v>
      </c>
    </row>
    <row r="583" spans="4:10" x14ac:dyDescent="0.25">
      <c r="D583" s="1"/>
      <c r="E583" s="1"/>
      <c r="F583" s="1"/>
      <c r="G583" s="1"/>
      <c r="H583" s="50"/>
      <c r="I583" s="50"/>
      <c r="J583">
        <f>Table2[[#This Row],[Cost unitar]]*Table2[[#This Row],[Stoc Depozit]]</f>
        <v>0</v>
      </c>
    </row>
    <row r="584" spans="4:10" x14ac:dyDescent="0.25">
      <c r="D584" s="1"/>
      <c r="E584" s="1"/>
      <c r="F584" s="1"/>
      <c r="G584" s="1"/>
      <c r="H584" s="50"/>
      <c r="I584" s="50"/>
      <c r="J584">
        <f>Table2[[#This Row],[Cost unitar]]*Table2[[#This Row],[Stoc Depozit]]</f>
        <v>0</v>
      </c>
    </row>
    <row r="585" spans="4:10" x14ac:dyDescent="0.25">
      <c r="D585" s="1"/>
      <c r="E585" s="1"/>
      <c r="F585" s="1"/>
      <c r="G585" s="1"/>
      <c r="H585" s="50"/>
      <c r="I585" s="50"/>
      <c r="J585">
        <f>Table2[[#This Row],[Cost unitar]]*Table2[[#This Row],[Stoc Depozit]]</f>
        <v>0</v>
      </c>
    </row>
    <row r="586" spans="4:10" x14ac:dyDescent="0.25">
      <c r="D586" s="1"/>
      <c r="E586" s="1"/>
      <c r="F586" s="1"/>
      <c r="G586" s="1"/>
      <c r="H586" s="50"/>
      <c r="I586" s="50"/>
      <c r="J586">
        <f>Table2[[#This Row],[Cost unitar]]*Table2[[#This Row],[Stoc Depozit]]</f>
        <v>0</v>
      </c>
    </row>
    <row r="587" spans="4:10" x14ac:dyDescent="0.25">
      <c r="D587" s="1"/>
      <c r="E587" s="1"/>
      <c r="F587" s="1"/>
      <c r="G587" s="1"/>
      <c r="H587" s="50"/>
      <c r="I587" s="50"/>
      <c r="J587">
        <f>Table2[[#This Row],[Cost unitar]]*Table2[[#This Row],[Stoc Depozit]]</f>
        <v>0</v>
      </c>
    </row>
    <row r="588" spans="4:10" x14ac:dyDescent="0.25">
      <c r="D588" s="1"/>
      <c r="E588" s="1"/>
      <c r="F588" s="1"/>
      <c r="G588" s="1"/>
      <c r="H588" s="50"/>
      <c r="I588" s="50"/>
      <c r="J588">
        <f>Table2[[#This Row],[Cost unitar]]*Table2[[#This Row],[Stoc Depozit]]</f>
        <v>0</v>
      </c>
    </row>
    <row r="589" spans="4:10" x14ac:dyDescent="0.25">
      <c r="D589" s="1"/>
      <c r="E589" s="1"/>
      <c r="F589" s="1"/>
      <c r="G589" s="1"/>
      <c r="H589" s="50"/>
      <c r="I589" s="50"/>
      <c r="J589">
        <f>Table2[[#This Row],[Cost unitar]]*Table2[[#This Row],[Stoc Depozit]]</f>
        <v>0</v>
      </c>
    </row>
    <row r="590" spans="4:10" x14ac:dyDescent="0.25">
      <c r="D590" s="1"/>
      <c r="E590" s="1"/>
      <c r="F590" s="1"/>
      <c r="G590" s="1"/>
      <c r="H590" s="50"/>
      <c r="I590" s="50"/>
      <c r="J590">
        <f>Table2[[#This Row],[Cost unitar]]*Table2[[#This Row],[Stoc Depozit]]</f>
        <v>0</v>
      </c>
    </row>
    <row r="591" spans="4:10" x14ac:dyDescent="0.25">
      <c r="D591" s="1"/>
      <c r="E591" s="1"/>
      <c r="F591" s="1"/>
      <c r="G591" s="1"/>
      <c r="H591" s="50"/>
      <c r="I591" s="50"/>
      <c r="J591">
        <f>Table2[[#This Row],[Cost unitar]]*Table2[[#This Row],[Stoc Depozit]]</f>
        <v>0</v>
      </c>
    </row>
    <row r="592" spans="4:10" x14ac:dyDescent="0.25">
      <c r="D592" s="1"/>
      <c r="E592" s="1"/>
      <c r="F592" s="1"/>
      <c r="G592" s="1"/>
      <c r="H592" s="50"/>
      <c r="I592" s="50"/>
      <c r="J592">
        <f>Table2[[#This Row],[Cost unitar]]*Table2[[#This Row],[Stoc Depozit]]</f>
        <v>0</v>
      </c>
    </row>
    <row r="593" spans="4:10" x14ac:dyDescent="0.25">
      <c r="D593" s="1"/>
      <c r="E593" s="1"/>
      <c r="F593" s="1"/>
      <c r="G593" s="1"/>
      <c r="H593" s="50"/>
      <c r="I593" s="50"/>
      <c r="J593">
        <f>Table2[[#This Row],[Cost unitar]]*Table2[[#This Row],[Stoc Depozit]]</f>
        <v>0</v>
      </c>
    </row>
    <row r="594" spans="4:10" x14ac:dyDescent="0.25">
      <c r="D594" s="1"/>
      <c r="E594" s="1"/>
      <c r="F594" s="1"/>
      <c r="G594" s="1"/>
      <c r="H594" s="50"/>
      <c r="I594" s="50"/>
      <c r="J594">
        <f>Table2[[#This Row],[Cost unitar]]*Table2[[#This Row],[Stoc Depozit]]</f>
        <v>0</v>
      </c>
    </row>
    <row r="595" spans="4:10" x14ac:dyDescent="0.25">
      <c r="D595" s="1"/>
      <c r="E595" s="1"/>
      <c r="F595" s="1"/>
      <c r="G595" s="1"/>
      <c r="H595" s="50"/>
      <c r="I595" s="50"/>
      <c r="J595">
        <f>Table2[[#This Row],[Cost unitar]]*Table2[[#This Row],[Stoc Depozit]]</f>
        <v>0</v>
      </c>
    </row>
    <row r="596" spans="4:10" x14ac:dyDescent="0.25">
      <c r="D596" s="1"/>
      <c r="E596" s="1"/>
      <c r="F596" s="1"/>
      <c r="G596" s="1"/>
      <c r="H596" s="50"/>
      <c r="I596" s="50"/>
      <c r="J596">
        <f>Table2[[#This Row],[Cost unitar]]*Table2[[#This Row],[Stoc Depozit]]</f>
        <v>0</v>
      </c>
    </row>
    <row r="597" spans="4:10" x14ac:dyDescent="0.25">
      <c r="D597" s="1"/>
      <c r="E597" s="1"/>
      <c r="F597" s="1"/>
      <c r="G597" s="1"/>
      <c r="H597" s="50"/>
      <c r="I597" s="50"/>
      <c r="J597">
        <f>Table2[[#This Row],[Cost unitar]]*Table2[[#This Row],[Stoc Depozit]]</f>
        <v>0</v>
      </c>
    </row>
    <row r="598" spans="4:10" x14ac:dyDescent="0.25">
      <c r="D598" s="1"/>
      <c r="E598" s="1"/>
      <c r="F598" s="1"/>
      <c r="G598" s="1"/>
      <c r="H598" s="50"/>
      <c r="I598" s="50"/>
      <c r="J598">
        <f>Table2[[#This Row],[Cost unitar]]*Table2[[#This Row],[Stoc Depozit]]</f>
        <v>0</v>
      </c>
    </row>
    <row r="599" spans="4:10" x14ac:dyDescent="0.25">
      <c r="D599" s="1"/>
      <c r="E599" s="1"/>
      <c r="F599" s="1"/>
      <c r="G599" s="1"/>
      <c r="H599" s="50"/>
      <c r="I599" s="50"/>
      <c r="J599">
        <f>Table2[[#This Row],[Cost unitar]]*Table2[[#This Row],[Stoc Depozit]]</f>
        <v>0</v>
      </c>
    </row>
    <row r="600" spans="4:10" x14ac:dyDescent="0.25">
      <c r="D600" s="1"/>
      <c r="E600" s="1"/>
      <c r="F600" s="1"/>
      <c r="G600" s="1"/>
      <c r="H600" s="50"/>
      <c r="I600" s="50"/>
      <c r="J600">
        <f>Table2[[#This Row],[Cost unitar]]*Table2[[#This Row],[Stoc Depozit]]</f>
        <v>0</v>
      </c>
    </row>
    <row r="601" spans="4:10" x14ac:dyDescent="0.25">
      <c r="D601" s="1"/>
      <c r="E601" s="1"/>
      <c r="F601" s="1"/>
      <c r="G601" s="1"/>
      <c r="H601" s="50"/>
      <c r="I601" s="50"/>
      <c r="J601">
        <f>Table2[[#This Row],[Cost unitar]]*Table2[[#This Row],[Stoc Depozit]]</f>
        <v>0</v>
      </c>
    </row>
    <row r="602" spans="4:10" x14ac:dyDescent="0.25">
      <c r="D602" s="1"/>
      <c r="E602" s="1"/>
      <c r="F602" s="1"/>
      <c r="G602" s="1"/>
      <c r="H602" s="50"/>
      <c r="I602" s="50"/>
      <c r="J602">
        <f>Table2[[#This Row],[Cost unitar]]*Table2[[#This Row],[Stoc Depozit]]</f>
        <v>0</v>
      </c>
    </row>
    <row r="603" spans="4:10" x14ac:dyDescent="0.25">
      <c r="D603" s="1"/>
      <c r="E603" s="1"/>
      <c r="F603" s="1"/>
      <c r="G603" s="1"/>
      <c r="H603" s="50"/>
      <c r="I603" s="50"/>
      <c r="J603">
        <f>Table2[[#This Row],[Cost unitar]]*Table2[[#This Row],[Stoc Depozit]]</f>
        <v>0</v>
      </c>
    </row>
    <row r="604" spans="4:10" x14ac:dyDescent="0.25">
      <c r="D604" s="1"/>
      <c r="E604" s="1"/>
      <c r="F604" s="1"/>
      <c r="G604" s="1"/>
      <c r="H604" s="50"/>
      <c r="I604" s="50"/>
      <c r="J604">
        <f>Table2[[#This Row],[Cost unitar]]*Table2[[#This Row],[Stoc Depozit]]</f>
        <v>0</v>
      </c>
    </row>
    <row r="605" spans="4:10" x14ac:dyDescent="0.25">
      <c r="D605" s="1"/>
      <c r="E605" s="1"/>
      <c r="F605" s="1"/>
      <c r="G605" s="1"/>
      <c r="H605" s="50"/>
      <c r="I605" s="50"/>
      <c r="J605">
        <f>Table2[[#This Row],[Cost unitar]]*Table2[[#This Row],[Stoc Depozit]]</f>
        <v>0</v>
      </c>
    </row>
    <row r="606" spans="4:10" x14ac:dyDescent="0.25">
      <c r="D606" s="1"/>
      <c r="E606" s="1"/>
      <c r="F606" s="1"/>
      <c r="G606" s="1"/>
      <c r="H606" s="15"/>
      <c r="I606" s="15"/>
      <c r="J606">
        <f>Table2[[#This Row],[Cost unitar]]*Table2[[#This Row],[Stoc Depozit]]</f>
        <v>0</v>
      </c>
    </row>
    <row r="607" spans="4:10" x14ac:dyDescent="0.25">
      <c r="D607" s="1"/>
      <c r="E607" s="1"/>
      <c r="F607" s="1"/>
      <c r="G607" s="1"/>
      <c r="H607" s="15"/>
      <c r="I607" s="15"/>
      <c r="J607">
        <f>SUBTOTAL(109,Table2[Cost Total])</f>
        <v>0</v>
      </c>
    </row>
    <row r="609" spans="3:8" x14ac:dyDescent="0.25">
      <c r="C609" t="s">
        <v>34</v>
      </c>
      <c r="D609" t="s">
        <v>37</v>
      </c>
      <c r="H609" s="1" t="s">
        <v>40</v>
      </c>
    </row>
    <row r="610" spans="3:8" x14ac:dyDescent="0.25">
      <c r="C610" t="s">
        <v>35</v>
      </c>
      <c r="D610" t="s">
        <v>38</v>
      </c>
      <c r="H610" s="1" t="s">
        <v>41</v>
      </c>
    </row>
    <row r="611" spans="3:8" x14ac:dyDescent="0.25">
      <c r="C611" t="s">
        <v>36</v>
      </c>
    </row>
    <row r="612" spans="3:8" x14ac:dyDescent="0.25">
      <c r="D612" t="s">
        <v>39</v>
      </c>
    </row>
  </sheetData>
  <mergeCells count="1">
    <mergeCell ref="A1:J1"/>
  </mergeCells>
  <phoneticPr fontId="3" type="noConversion"/>
  <conditionalFormatting sqref="C2">
    <cfRule type="expression" dxfId="7" priority="2">
      <formula>NOT(ISERROR(VLOOKUP(C2,R:R,1,FALSE)))</formula>
    </cfRule>
  </conditionalFormatting>
  <conditionalFormatting sqref="D3:F606">
    <cfRule type="expression" dxfId="6" priority="5">
      <formula>D3&lt;=H3</formula>
    </cfRule>
  </conditionalFormatting>
  <pageMargins left="0.25" right="0.25" top="0.75" bottom="0.75" header="0.3" footer="0.3"/>
  <pageSetup orientation="landscape" horizontalDpi="360" verticalDpi="36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042B4-3120-4FAD-98B4-D9127DDAA0C6}">
  <dimension ref="A2:AB31"/>
  <sheetViews>
    <sheetView topLeftCell="A8" zoomScaleNormal="100" workbookViewId="0">
      <selection activeCell="M26" sqref="M26"/>
    </sheetView>
  </sheetViews>
  <sheetFormatPr defaultRowHeight="15" x14ac:dyDescent="0.25"/>
  <cols>
    <col min="1" max="1" width="4.28515625" customWidth="1"/>
    <col min="2" max="2" width="10.140625" customWidth="1"/>
    <col min="3" max="3" width="18" customWidth="1"/>
    <col min="4" max="4" width="8.42578125" customWidth="1"/>
    <col min="5" max="5" width="14.28515625" customWidth="1"/>
    <col min="6" max="6" width="17.5703125" customWidth="1"/>
    <col min="7" max="7" width="20.140625" customWidth="1"/>
    <col min="8" max="8" width="20.7109375" customWidth="1"/>
    <col min="9" max="9" width="15.28515625" customWidth="1"/>
    <col min="10" max="10" width="23.7109375" customWidth="1"/>
    <col min="11" max="11" width="21.85546875" customWidth="1"/>
    <col min="12" max="12" width="11.5703125" customWidth="1"/>
    <col min="13" max="13" width="17" customWidth="1"/>
    <col min="14" max="14" width="12.140625" customWidth="1"/>
    <col min="15" max="15" width="25.140625" customWidth="1"/>
    <col min="16" max="16" width="12.28515625" customWidth="1"/>
    <col min="17" max="17" width="11.28515625" customWidth="1"/>
    <col min="18" max="18" width="9.5703125" customWidth="1"/>
    <col min="19" max="19" width="9.42578125" customWidth="1"/>
    <col min="20" max="20" width="13.28515625" customWidth="1"/>
    <col min="21" max="21" width="17" customWidth="1"/>
    <col min="22" max="22" width="13.85546875" customWidth="1"/>
    <col min="23" max="23" width="10.42578125" customWidth="1"/>
    <col min="24" max="24" width="10.7109375" customWidth="1"/>
    <col min="25" max="25" width="11" customWidth="1"/>
    <col min="26" max="26" width="8.42578125" customWidth="1"/>
    <col min="27" max="27" width="9.140625" customWidth="1"/>
    <col min="28" max="28" width="9.5703125" customWidth="1"/>
  </cols>
  <sheetData>
    <row r="2" spans="1:28" ht="21" x14ac:dyDescent="0.35">
      <c r="A2" s="140" t="s">
        <v>1252</v>
      </c>
      <c r="B2" s="140"/>
      <c r="C2" s="140"/>
      <c r="D2" s="140"/>
      <c r="E2" s="140"/>
      <c r="F2" s="140"/>
      <c r="G2" s="140"/>
      <c r="H2" s="130"/>
      <c r="I2" s="130"/>
      <c r="J2" s="140" t="s">
        <v>1252</v>
      </c>
      <c r="K2" s="140"/>
      <c r="L2" s="140"/>
      <c r="M2" s="140"/>
      <c r="N2" s="140"/>
      <c r="O2" s="140"/>
      <c r="P2" s="140"/>
      <c r="Q2" s="140"/>
      <c r="R2" s="129"/>
      <c r="S2" s="140" t="s">
        <v>1252</v>
      </c>
      <c r="T2" s="140"/>
      <c r="U2" s="140"/>
      <c r="V2" s="140"/>
      <c r="W2" s="140"/>
      <c r="X2" s="140"/>
      <c r="Y2" s="140"/>
      <c r="Z2" s="128"/>
      <c r="AA2" s="128"/>
    </row>
    <row r="3" spans="1:28" ht="21" x14ac:dyDescent="0.35">
      <c r="A3" s="140" t="s">
        <v>1251</v>
      </c>
      <c r="B3" s="140"/>
      <c r="C3" s="140"/>
      <c r="D3" s="140"/>
      <c r="E3" s="140"/>
      <c r="F3" s="140"/>
      <c r="G3" s="140"/>
      <c r="H3" s="130"/>
      <c r="I3" s="130"/>
      <c r="J3" s="140" t="s">
        <v>1251</v>
      </c>
      <c r="K3" s="140"/>
      <c r="L3" s="140"/>
      <c r="M3" s="140"/>
      <c r="N3" s="140"/>
      <c r="O3" s="140"/>
      <c r="P3" s="140"/>
      <c r="Q3" s="140"/>
      <c r="R3" s="129"/>
      <c r="S3" s="140" t="s">
        <v>1251</v>
      </c>
      <c r="T3" s="140"/>
      <c r="U3" s="140"/>
      <c r="V3" s="140"/>
      <c r="W3" s="140"/>
      <c r="X3" s="140"/>
      <c r="Y3" s="140"/>
      <c r="Z3" s="128"/>
      <c r="AA3" s="128"/>
    </row>
    <row r="4" spans="1:28" ht="15.75" thickBot="1" x14ac:dyDescent="0.3"/>
    <row r="5" spans="1:28" s="15" customFormat="1" ht="21" customHeight="1" x14ac:dyDescent="0.25">
      <c r="A5" s="170" t="s">
        <v>1250</v>
      </c>
      <c r="B5" s="172" t="s">
        <v>1249</v>
      </c>
      <c r="C5" s="166" t="s">
        <v>1248</v>
      </c>
      <c r="D5" s="167"/>
      <c r="E5" s="168"/>
      <c r="F5" s="176" t="s">
        <v>1247</v>
      </c>
      <c r="G5" s="177"/>
      <c r="H5" s="177"/>
      <c r="I5" s="178"/>
      <c r="J5" s="151" t="s">
        <v>1246</v>
      </c>
      <c r="K5" s="151"/>
      <c r="L5" s="151"/>
      <c r="M5" s="151"/>
      <c r="N5" s="166" t="s">
        <v>1245</v>
      </c>
      <c r="O5" s="167"/>
      <c r="P5" s="169"/>
      <c r="Q5" s="183" t="s">
        <v>1244</v>
      </c>
      <c r="R5" s="167"/>
      <c r="S5" s="167"/>
      <c r="T5" s="168"/>
      <c r="U5" s="174" t="s">
        <v>1243</v>
      </c>
      <c r="V5" s="175"/>
      <c r="W5" s="175"/>
      <c r="X5" s="175"/>
      <c r="Y5" s="150" t="s">
        <v>1242</v>
      </c>
      <c r="Z5" s="151"/>
      <c r="AA5" s="151"/>
      <c r="AB5" s="152"/>
    </row>
    <row r="6" spans="1:28" s="116" customFormat="1" ht="47.25" customHeight="1" thickBot="1" x14ac:dyDescent="0.3">
      <c r="A6" s="171"/>
      <c r="B6" s="173"/>
      <c r="C6" s="127" t="s">
        <v>1241</v>
      </c>
      <c r="D6" s="124" t="s">
        <v>1240</v>
      </c>
      <c r="E6" s="123" t="s">
        <v>1239</v>
      </c>
      <c r="F6" s="122" t="s">
        <v>1238</v>
      </c>
      <c r="G6" s="124" t="s">
        <v>1237</v>
      </c>
      <c r="H6" s="124" t="s">
        <v>1236</v>
      </c>
      <c r="I6" s="126" t="s">
        <v>1235</v>
      </c>
      <c r="J6" s="125" t="s">
        <v>1234</v>
      </c>
      <c r="K6" s="124" t="s">
        <v>1233</v>
      </c>
      <c r="L6" s="124" t="s">
        <v>1232</v>
      </c>
      <c r="M6" s="123" t="s">
        <v>1231</v>
      </c>
      <c r="N6" s="122" t="s">
        <v>1230</v>
      </c>
      <c r="O6" s="124" t="s">
        <v>1229</v>
      </c>
      <c r="P6" s="126" t="s">
        <v>1228</v>
      </c>
      <c r="Q6" s="125" t="s">
        <v>1227</v>
      </c>
      <c r="R6" s="124" t="s">
        <v>1226</v>
      </c>
      <c r="S6" s="124" t="s">
        <v>1225</v>
      </c>
      <c r="T6" s="123" t="s">
        <v>1224</v>
      </c>
      <c r="U6" s="122" t="s">
        <v>1223</v>
      </c>
      <c r="V6" s="121" t="s">
        <v>1222</v>
      </c>
      <c r="W6" s="181" t="s">
        <v>1221</v>
      </c>
      <c r="X6" s="182"/>
      <c r="Y6" s="120" t="s">
        <v>1220</v>
      </c>
      <c r="Z6" s="119" t="s">
        <v>1219</v>
      </c>
      <c r="AA6" s="118" t="s">
        <v>1218</v>
      </c>
      <c r="AB6" s="117" t="s">
        <v>1217</v>
      </c>
    </row>
    <row r="7" spans="1:28" s="52" customFormat="1" ht="25.5" customHeight="1" x14ac:dyDescent="0.25">
      <c r="A7" s="89">
        <v>1</v>
      </c>
      <c r="B7" s="88" t="s">
        <v>1216</v>
      </c>
      <c r="C7" s="83" t="s">
        <v>1215</v>
      </c>
      <c r="D7" s="83" t="s">
        <v>1125</v>
      </c>
      <c r="E7" s="83" t="s">
        <v>1124</v>
      </c>
      <c r="F7" s="83" t="s">
        <v>1135</v>
      </c>
      <c r="G7" s="83" t="s">
        <v>1214</v>
      </c>
      <c r="H7" s="82">
        <v>45315</v>
      </c>
      <c r="I7" s="87" t="s">
        <v>1213</v>
      </c>
      <c r="J7" s="83" t="s">
        <v>1212</v>
      </c>
      <c r="K7" s="83" t="s">
        <v>1211</v>
      </c>
      <c r="L7" s="83">
        <v>1560</v>
      </c>
      <c r="M7" s="86" t="s">
        <v>1121</v>
      </c>
      <c r="N7" s="82">
        <v>40401</v>
      </c>
      <c r="O7" s="82" t="s">
        <v>1120</v>
      </c>
      <c r="P7" s="82">
        <v>45315</v>
      </c>
      <c r="Q7" s="82">
        <v>45392</v>
      </c>
      <c r="R7" s="83" t="s">
        <v>1119</v>
      </c>
      <c r="S7" s="83" t="s">
        <v>1151</v>
      </c>
      <c r="T7" s="87" t="s">
        <v>1150</v>
      </c>
      <c r="U7" s="83" t="s">
        <v>1210</v>
      </c>
      <c r="V7" s="83"/>
      <c r="W7" s="82">
        <v>45934</v>
      </c>
      <c r="X7" s="81">
        <v>46298</v>
      </c>
      <c r="Y7" s="134"/>
      <c r="Z7" s="135"/>
      <c r="AA7" s="136"/>
      <c r="AB7" s="135"/>
    </row>
    <row r="8" spans="1:28" s="51" customFormat="1" ht="31.5" customHeight="1" x14ac:dyDescent="0.2">
      <c r="A8" s="71">
        <v>2</v>
      </c>
      <c r="B8" s="110" t="s">
        <v>1209</v>
      </c>
      <c r="C8" s="55" t="s">
        <v>1208</v>
      </c>
      <c r="D8" s="55" t="s">
        <v>1176</v>
      </c>
      <c r="E8" s="55" t="s">
        <v>1119</v>
      </c>
      <c r="F8" s="55" t="s">
        <v>1135</v>
      </c>
      <c r="G8" s="55" t="s">
        <v>1207</v>
      </c>
      <c r="H8" s="55" t="s">
        <v>1206</v>
      </c>
      <c r="I8" s="55"/>
      <c r="J8" s="114" t="s">
        <v>1205</v>
      </c>
      <c r="K8" s="55" t="s">
        <v>1204</v>
      </c>
      <c r="L8" s="55">
        <v>1461</v>
      </c>
      <c r="M8" s="86" t="s">
        <v>1121</v>
      </c>
      <c r="N8" s="108">
        <v>41851</v>
      </c>
      <c r="O8" s="82" t="s">
        <v>1120</v>
      </c>
      <c r="P8" s="109">
        <v>45308</v>
      </c>
      <c r="Q8" s="109">
        <v>45855</v>
      </c>
      <c r="R8" s="55" t="s">
        <v>1119</v>
      </c>
      <c r="S8" s="74"/>
      <c r="T8" s="74"/>
      <c r="U8" s="70" t="s">
        <v>1093</v>
      </c>
      <c r="V8" s="70" t="s">
        <v>1203</v>
      </c>
      <c r="W8" s="109">
        <v>45770</v>
      </c>
      <c r="X8" s="108">
        <v>46134</v>
      </c>
      <c r="Y8" s="56">
        <v>7156426786</v>
      </c>
      <c r="Z8" s="55" t="s">
        <v>1110</v>
      </c>
      <c r="AA8" s="54">
        <v>45754</v>
      </c>
      <c r="AB8" s="109">
        <v>46118</v>
      </c>
    </row>
    <row r="9" spans="1:28" s="51" customFormat="1" ht="18.75" customHeight="1" x14ac:dyDescent="0.2">
      <c r="A9" s="164">
        <v>3</v>
      </c>
      <c r="B9" s="162" t="s">
        <v>1202</v>
      </c>
      <c r="C9" s="143" t="s">
        <v>1201</v>
      </c>
      <c r="D9" s="143" t="s">
        <v>1176</v>
      </c>
      <c r="E9" s="143" t="s">
        <v>1158</v>
      </c>
      <c r="F9" s="143" t="s">
        <v>1200</v>
      </c>
      <c r="G9" s="143" t="s">
        <v>1199</v>
      </c>
      <c r="H9" s="143" t="s">
        <v>1198</v>
      </c>
      <c r="I9" s="145"/>
      <c r="J9" s="145"/>
      <c r="K9" s="143" t="s">
        <v>1197</v>
      </c>
      <c r="L9" s="143">
        <v>1896</v>
      </c>
      <c r="M9" s="143" t="s">
        <v>1153</v>
      </c>
      <c r="N9" s="143">
        <v>2004</v>
      </c>
      <c r="O9" s="143" t="s">
        <v>1152</v>
      </c>
      <c r="P9" s="147">
        <v>44475</v>
      </c>
      <c r="Q9" s="145"/>
      <c r="R9" s="179" t="s">
        <v>1196</v>
      </c>
      <c r="S9" s="145"/>
      <c r="T9" s="143"/>
      <c r="U9" s="179" t="s">
        <v>1149</v>
      </c>
      <c r="V9" s="179" t="s">
        <v>1195</v>
      </c>
      <c r="W9" s="147">
        <v>45730</v>
      </c>
      <c r="X9" s="147">
        <v>46094</v>
      </c>
      <c r="Y9" s="156"/>
      <c r="Z9" s="153"/>
      <c r="AA9" s="153"/>
      <c r="AB9" s="154"/>
    </row>
    <row r="10" spans="1:28" s="51" customFormat="1" ht="6.75" customHeight="1" x14ac:dyDescent="0.2">
      <c r="A10" s="165"/>
      <c r="B10" s="163"/>
      <c r="C10" s="144"/>
      <c r="D10" s="144"/>
      <c r="E10" s="144"/>
      <c r="F10" s="144"/>
      <c r="G10" s="144"/>
      <c r="H10" s="144"/>
      <c r="I10" s="146"/>
      <c r="J10" s="146"/>
      <c r="K10" s="144"/>
      <c r="L10" s="144"/>
      <c r="M10" s="144"/>
      <c r="N10" s="144"/>
      <c r="O10" s="144"/>
      <c r="P10" s="144"/>
      <c r="Q10" s="146"/>
      <c r="R10" s="180"/>
      <c r="S10" s="146"/>
      <c r="T10" s="144"/>
      <c r="U10" s="180"/>
      <c r="V10" s="180"/>
      <c r="W10" s="148"/>
      <c r="X10" s="148"/>
      <c r="Y10" s="157"/>
      <c r="Z10" s="153"/>
      <c r="AA10" s="153"/>
      <c r="AB10" s="155"/>
    </row>
    <row r="11" spans="1:28" s="51" customFormat="1" ht="18.75" customHeight="1" x14ac:dyDescent="0.2">
      <c r="A11" s="164">
        <v>4</v>
      </c>
      <c r="B11" s="162" t="s">
        <v>1194</v>
      </c>
      <c r="C11" s="143" t="s">
        <v>1193</v>
      </c>
      <c r="D11" s="143" t="s">
        <v>1159</v>
      </c>
      <c r="E11" s="143" t="s">
        <v>1124</v>
      </c>
      <c r="F11" s="143" t="s">
        <v>1192</v>
      </c>
      <c r="G11" s="143" t="s">
        <v>1191</v>
      </c>
      <c r="H11" s="143" t="s">
        <v>1190</v>
      </c>
      <c r="I11" s="143"/>
      <c r="J11" s="143" t="s">
        <v>1189</v>
      </c>
      <c r="K11" s="143" t="s">
        <v>1188</v>
      </c>
      <c r="L11" s="143">
        <v>1461</v>
      </c>
      <c r="M11" s="143" t="s">
        <v>1121</v>
      </c>
      <c r="N11" s="143">
        <v>2015</v>
      </c>
      <c r="O11" s="147" t="s">
        <v>1120</v>
      </c>
      <c r="P11" s="147">
        <v>45442</v>
      </c>
      <c r="Q11" s="147">
        <v>46129</v>
      </c>
      <c r="R11" s="143" t="s">
        <v>1119</v>
      </c>
      <c r="S11" s="145"/>
      <c r="T11" s="145"/>
      <c r="U11" s="179" t="s">
        <v>1163</v>
      </c>
      <c r="V11" s="179" t="s">
        <v>1187</v>
      </c>
      <c r="W11" s="147">
        <v>46035</v>
      </c>
      <c r="X11" s="147">
        <v>46399</v>
      </c>
      <c r="Y11" s="184"/>
      <c r="Z11" s="145"/>
      <c r="AA11" s="149"/>
      <c r="AB11" s="145"/>
    </row>
    <row r="12" spans="1:28" s="51" customFormat="1" ht="7.5" customHeight="1" x14ac:dyDescent="0.2">
      <c r="A12" s="165"/>
      <c r="B12" s="163"/>
      <c r="C12" s="144"/>
      <c r="D12" s="144"/>
      <c r="E12" s="144"/>
      <c r="F12" s="144"/>
      <c r="G12" s="144"/>
      <c r="H12" s="144"/>
      <c r="I12" s="144"/>
      <c r="J12" s="144"/>
      <c r="K12" s="144"/>
      <c r="L12" s="144"/>
      <c r="M12" s="144"/>
      <c r="N12" s="144"/>
      <c r="O12" s="148"/>
      <c r="P12" s="148"/>
      <c r="Q12" s="148"/>
      <c r="R12" s="144"/>
      <c r="S12" s="146"/>
      <c r="T12" s="146"/>
      <c r="U12" s="180"/>
      <c r="V12" s="180"/>
      <c r="W12" s="148"/>
      <c r="X12" s="148"/>
      <c r="Y12" s="185"/>
      <c r="Z12" s="146"/>
      <c r="AA12" s="149"/>
      <c r="AB12" s="146"/>
    </row>
    <row r="13" spans="1:28" s="51" customFormat="1" ht="25.5" x14ac:dyDescent="0.2">
      <c r="A13" s="80">
        <v>5</v>
      </c>
      <c r="B13" s="79" t="s">
        <v>1186</v>
      </c>
      <c r="C13" s="74" t="s">
        <v>1185</v>
      </c>
      <c r="D13" s="74" t="s">
        <v>1159</v>
      </c>
      <c r="E13" s="115" t="s">
        <v>1124</v>
      </c>
      <c r="F13" s="74" t="s">
        <v>1184</v>
      </c>
      <c r="G13" s="74" t="s">
        <v>1183</v>
      </c>
      <c r="H13" s="74" t="s">
        <v>1182</v>
      </c>
      <c r="I13" s="114" t="s">
        <v>1181</v>
      </c>
      <c r="J13" s="74" t="s">
        <v>1180</v>
      </c>
      <c r="K13" s="74" t="s">
        <v>1179</v>
      </c>
      <c r="L13" s="74" t="s">
        <v>1135</v>
      </c>
      <c r="M13" s="69" t="s">
        <v>1142</v>
      </c>
      <c r="N13" s="78">
        <v>2022</v>
      </c>
      <c r="O13" s="113" t="s">
        <v>1120</v>
      </c>
      <c r="P13" s="76">
        <v>45488</v>
      </c>
      <c r="Q13" s="76">
        <v>45970</v>
      </c>
      <c r="R13" s="74" t="s">
        <v>1119</v>
      </c>
      <c r="S13" s="74"/>
      <c r="T13" s="74"/>
      <c r="U13" s="70" t="s">
        <v>1093</v>
      </c>
      <c r="V13" s="70" t="s">
        <v>1178</v>
      </c>
      <c r="W13" s="76">
        <v>46035</v>
      </c>
      <c r="X13" s="112">
        <v>46399</v>
      </c>
      <c r="Y13" s="75"/>
      <c r="Z13" s="77"/>
      <c r="AA13" s="90"/>
      <c r="AB13" s="77"/>
    </row>
    <row r="14" spans="1:28" s="51" customFormat="1" ht="25.5" x14ac:dyDescent="0.2">
      <c r="A14" s="71">
        <v>6</v>
      </c>
      <c r="B14" s="110" t="s">
        <v>1177</v>
      </c>
      <c r="C14" s="55" t="s">
        <v>1169</v>
      </c>
      <c r="D14" s="55" t="s">
        <v>1176</v>
      </c>
      <c r="E14" s="83" t="s">
        <v>1124</v>
      </c>
      <c r="F14" s="55" t="s">
        <v>1175</v>
      </c>
      <c r="G14" s="55" t="s">
        <v>1174</v>
      </c>
      <c r="H14" s="55" t="s">
        <v>1166</v>
      </c>
      <c r="I14" s="55"/>
      <c r="J14" s="70" t="s">
        <v>1173</v>
      </c>
      <c r="K14" s="55" t="s">
        <v>1172</v>
      </c>
      <c r="L14" s="55">
        <v>1461</v>
      </c>
      <c r="M14" s="69" t="s">
        <v>1121</v>
      </c>
      <c r="N14" s="69">
        <v>2007</v>
      </c>
      <c r="O14" s="82" t="s">
        <v>1120</v>
      </c>
      <c r="P14" s="109">
        <v>45489</v>
      </c>
      <c r="Q14" s="109">
        <v>45716</v>
      </c>
      <c r="R14" s="55" t="s">
        <v>1119</v>
      </c>
      <c r="S14" s="74"/>
      <c r="T14" s="74"/>
      <c r="U14" s="70" t="s">
        <v>1093</v>
      </c>
      <c r="V14" s="70" t="s">
        <v>1171</v>
      </c>
      <c r="W14" s="109">
        <v>45670</v>
      </c>
      <c r="X14" s="111">
        <v>45700</v>
      </c>
      <c r="Y14" s="56"/>
      <c r="Z14" s="77"/>
      <c r="AA14" s="90"/>
      <c r="AB14" s="77"/>
    </row>
    <row r="15" spans="1:28" s="52" customFormat="1" ht="25.5" x14ac:dyDescent="0.25">
      <c r="A15" s="71">
        <v>7</v>
      </c>
      <c r="B15" s="110" t="s">
        <v>1170</v>
      </c>
      <c r="C15" s="55" t="s">
        <v>1169</v>
      </c>
      <c r="D15" s="55" t="s">
        <v>1168</v>
      </c>
      <c r="E15" s="83" t="s">
        <v>1124</v>
      </c>
      <c r="F15" s="55" t="s">
        <v>1135</v>
      </c>
      <c r="G15" s="70" t="s">
        <v>1167</v>
      </c>
      <c r="H15" s="55" t="s">
        <v>1166</v>
      </c>
      <c r="I15" s="55"/>
      <c r="J15" s="70" t="s">
        <v>1165</v>
      </c>
      <c r="K15" s="55" t="s">
        <v>1164</v>
      </c>
      <c r="L15" s="55">
        <v>1598</v>
      </c>
      <c r="M15" s="86" t="s">
        <v>1121</v>
      </c>
      <c r="N15" s="69">
        <v>2007</v>
      </c>
      <c r="O15" s="82" t="s">
        <v>1120</v>
      </c>
      <c r="P15" s="109">
        <v>45489</v>
      </c>
      <c r="Q15" s="109">
        <v>45728</v>
      </c>
      <c r="R15" s="55" t="s">
        <v>1119</v>
      </c>
      <c r="S15" s="83"/>
      <c r="T15" s="55"/>
      <c r="U15" s="70" t="s">
        <v>1163</v>
      </c>
      <c r="V15" s="70" t="s">
        <v>1162</v>
      </c>
      <c r="W15" s="109">
        <v>45762</v>
      </c>
      <c r="X15" s="108">
        <v>46126</v>
      </c>
      <c r="Y15" s="56"/>
      <c r="Z15" s="67"/>
      <c r="AA15" s="95"/>
      <c r="AB15" s="67"/>
    </row>
    <row r="16" spans="1:28" s="52" customFormat="1" ht="25.5" x14ac:dyDescent="0.25">
      <c r="A16" s="71">
        <v>8</v>
      </c>
      <c r="B16" s="110" t="s">
        <v>1161</v>
      </c>
      <c r="C16" s="55" t="s">
        <v>1160</v>
      </c>
      <c r="D16" s="55" t="s">
        <v>1159</v>
      </c>
      <c r="E16" s="67" t="s">
        <v>1158</v>
      </c>
      <c r="F16" s="55" t="s">
        <v>1135</v>
      </c>
      <c r="G16" s="70" t="s">
        <v>1157</v>
      </c>
      <c r="H16" s="55" t="s">
        <v>1156</v>
      </c>
      <c r="I16" s="55">
        <f>-G4</f>
        <v>0</v>
      </c>
      <c r="J16" s="55" t="s">
        <v>1155</v>
      </c>
      <c r="K16" s="55" t="s">
        <v>1154</v>
      </c>
      <c r="L16" s="55">
        <v>1870</v>
      </c>
      <c r="M16" s="69" t="s">
        <v>1153</v>
      </c>
      <c r="N16" s="69">
        <v>2006</v>
      </c>
      <c r="O16" s="55" t="s">
        <v>1152</v>
      </c>
      <c r="P16" s="109">
        <v>44783</v>
      </c>
      <c r="Q16" s="109">
        <v>45405</v>
      </c>
      <c r="R16" s="55" t="s">
        <v>1094</v>
      </c>
      <c r="S16" s="55" t="s">
        <v>1151</v>
      </c>
      <c r="T16" s="70" t="s">
        <v>1150</v>
      </c>
      <c r="U16" s="70" t="s">
        <v>1149</v>
      </c>
      <c r="V16" s="70" t="s">
        <v>1148</v>
      </c>
      <c r="W16" s="109">
        <v>45829</v>
      </c>
      <c r="X16" s="108">
        <v>46193</v>
      </c>
      <c r="Y16" s="56"/>
      <c r="Z16" s="67"/>
      <c r="AA16" s="95"/>
      <c r="AB16" s="67"/>
    </row>
    <row r="17" spans="1:28" s="52" customFormat="1" ht="26.25" thickBot="1" x14ac:dyDescent="0.3">
      <c r="A17" s="107">
        <v>9</v>
      </c>
      <c r="B17" s="106" t="s">
        <v>1147</v>
      </c>
      <c r="C17" s="103" t="s">
        <v>1146</v>
      </c>
      <c r="D17" s="103" t="s">
        <v>1145</v>
      </c>
      <c r="E17" s="105" t="s">
        <v>1124</v>
      </c>
      <c r="F17" s="103" t="s">
        <v>1135</v>
      </c>
      <c r="G17" s="103" t="s">
        <v>1135</v>
      </c>
      <c r="H17" s="103" t="s">
        <v>1135</v>
      </c>
      <c r="I17" s="103" t="s">
        <v>1135</v>
      </c>
      <c r="J17" s="84" t="s">
        <v>1144</v>
      </c>
      <c r="K17" s="103" t="s">
        <v>1143</v>
      </c>
      <c r="L17" s="103">
        <v>1598</v>
      </c>
      <c r="M17" s="104" t="s">
        <v>1142</v>
      </c>
      <c r="N17" s="104">
        <v>2004</v>
      </c>
      <c r="O17" s="103" t="s">
        <v>1120</v>
      </c>
      <c r="P17" s="103" t="s">
        <v>1135</v>
      </c>
      <c r="Q17" s="102">
        <v>46706</v>
      </c>
      <c r="R17" s="103" t="s">
        <v>1119</v>
      </c>
      <c r="S17" s="103" t="s">
        <v>1135</v>
      </c>
      <c r="T17" s="103" t="s">
        <v>1135</v>
      </c>
      <c r="U17" s="84" t="s">
        <v>1118</v>
      </c>
      <c r="V17" s="103"/>
      <c r="W17" s="102">
        <v>45877</v>
      </c>
      <c r="X17" s="101">
        <v>46241</v>
      </c>
      <c r="Y17" s="56"/>
      <c r="Z17" s="67"/>
      <c r="AA17" s="95"/>
      <c r="AB17" s="67"/>
    </row>
    <row r="18" spans="1:28" s="52" customFormat="1" ht="28.5" customHeight="1" x14ac:dyDescent="0.25">
      <c r="A18" s="158">
        <v>10</v>
      </c>
      <c r="B18" s="100" t="s">
        <v>1090</v>
      </c>
      <c r="C18" s="141" t="s">
        <v>1141</v>
      </c>
      <c r="D18" s="141" t="s">
        <v>1125</v>
      </c>
      <c r="E18" s="141" t="s">
        <v>1124</v>
      </c>
      <c r="F18" s="99" t="s">
        <v>1140</v>
      </c>
      <c r="G18" s="98" t="s">
        <v>1139</v>
      </c>
      <c r="H18" s="99" t="s">
        <v>1129</v>
      </c>
      <c r="I18" s="141" t="s">
        <v>1135</v>
      </c>
      <c r="J18" s="141" t="s">
        <v>1138</v>
      </c>
      <c r="K18" s="141" t="s">
        <v>1137</v>
      </c>
      <c r="L18" s="141">
        <v>1984</v>
      </c>
      <c r="M18" s="141" t="s">
        <v>1136</v>
      </c>
      <c r="N18" s="141">
        <v>2007</v>
      </c>
      <c r="O18" s="99" t="s">
        <v>1120</v>
      </c>
      <c r="P18" s="97">
        <v>45399</v>
      </c>
      <c r="Q18" s="160">
        <v>45764</v>
      </c>
      <c r="R18" s="141" t="s">
        <v>1119</v>
      </c>
      <c r="S18" s="141" t="s">
        <v>1135</v>
      </c>
      <c r="T18" s="141" t="s">
        <v>1135</v>
      </c>
      <c r="U18" s="99" t="s">
        <v>1134</v>
      </c>
      <c r="V18" s="98" t="s">
        <v>1133</v>
      </c>
      <c r="W18" s="97">
        <v>45959</v>
      </c>
      <c r="X18" s="96">
        <v>46323</v>
      </c>
      <c r="Y18" s="56"/>
      <c r="Z18" s="67"/>
      <c r="AA18" s="95"/>
      <c r="AB18" s="67"/>
    </row>
    <row r="19" spans="1:28" s="51" customFormat="1" ht="25.5" customHeight="1" thickBot="1" x14ac:dyDescent="0.25">
      <c r="A19" s="159"/>
      <c r="B19" s="94" t="s">
        <v>1132</v>
      </c>
      <c r="C19" s="142"/>
      <c r="D19" s="142"/>
      <c r="E19" s="142"/>
      <c r="F19" s="93" t="s">
        <v>1131</v>
      </c>
      <c r="G19" s="59" t="s">
        <v>1130</v>
      </c>
      <c r="H19" s="62" t="s">
        <v>1129</v>
      </c>
      <c r="I19" s="142"/>
      <c r="J19" s="142"/>
      <c r="K19" s="142"/>
      <c r="L19" s="142"/>
      <c r="M19" s="142"/>
      <c r="N19" s="142"/>
      <c r="O19" s="61" t="s">
        <v>1128</v>
      </c>
      <c r="P19" s="62">
        <v>45399</v>
      </c>
      <c r="Q19" s="161"/>
      <c r="R19" s="142"/>
      <c r="S19" s="142"/>
      <c r="T19" s="142"/>
      <c r="U19" s="92"/>
      <c r="V19" s="92"/>
      <c r="W19" s="92"/>
      <c r="X19" s="91"/>
      <c r="Y19" s="75"/>
      <c r="Z19" s="74"/>
      <c r="AA19" s="90"/>
      <c r="AB19" s="77"/>
    </row>
    <row r="20" spans="1:28" s="52" customFormat="1" ht="25.5" x14ac:dyDescent="0.25">
      <c r="A20" s="89">
        <v>11</v>
      </c>
      <c r="B20" s="88" t="s">
        <v>1127</v>
      </c>
      <c r="C20" s="83" t="s">
        <v>1126</v>
      </c>
      <c r="D20" s="83" t="s">
        <v>1125</v>
      </c>
      <c r="E20" s="83" t="s">
        <v>1124</v>
      </c>
      <c r="F20" s="83"/>
      <c r="G20" s="83"/>
      <c r="H20" s="83"/>
      <c r="I20" s="83"/>
      <c r="J20" s="87" t="s">
        <v>1123</v>
      </c>
      <c r="K20" s="83" t="s">
        <v>1122</v>
      </c>
      <c r="L20" s="83">
        <v>1199</v>
      </c>
      <c r="M20" s="86" t="s">
        <v>1121</v>
      </c>
      <c r="N20" s="86">
        <v>2024</v>
      </c>
      <c r="O20" s="82" t="s">
        <v>1120</v>
      </c>
      <c r="P20" s="85"/>
      <c r="Q20" s="82">
        <v>46706</v>
      </c>
      <c r="R20" s="83" t="s">
        <v>1119</v>
      </c>
      <c r="S20" s="83"/>
      <c r="T20" s="83"/>
      <c r="U20" s="84" t="s">
        <v>1118</v>
      </c>
      <c r="V20" s="83"/>
      <c r="W20" s="82">
        <v>45881</v>
      </c>
      <c r="X20" s="81">
        <v>46245</v>
      </c>
      <c r="Y20" s="56"/>
      <c r="Z20" s="55"/>
      <c r="AA20" s="68"/>
      <c r="AB20" s="67"/>
    </row>
    <row r="21" spans="1:28" s="51" customFormat="1" ht="27.75" customHeight="1" x14ac:dyDescent="0.2">
      <c r="A21" s="80">
        <v>12</v>
      </c>
      <c r="B21" s="79" t="s">
        <v>1117</v>
      </c>
      <c r="C21" s="74" t="s">
        <v>1116</v>
      </c>
      <c r="D21" s="74"/>
      <c r="E21" s="74"/>
      <c r="F21" s="74" t="s">
        <v>1115</v>
      </c>
      <c r="G21" s="74" t="s">
        <v>1114</v>
      </c>
      <c r="H21" s="74" t="s">
        <v>1113</v>
      </c>
      <c r="I21" s="74"/>
      <c r="J21" s="74"/>
      <c r="K21" s="74" t="s">
        <v>1112</v>
      </c>
      <c r="L21" s="74">
        <v>2198</v>
      </c>
      <c r="M21" s="78" t="s">
        <v>1280</v>
      </c>
      <c r="N21" s="78">
        <v>2008</v>
      </c>
      <c r="O21" s="77" t="s">
        <v>1111</v>
      </c>
      <c r="P21" s="76">
        <v>45902</v>
      </c>
      <c r="Q21" s="76">
        <v>45672</v>
      </c>
      <c r="R21" s="74"/>
      <c r="S21" s="74"/>
      <c r="T21" s="74"/>
      <c r="U21" s="70" t="s">
        <v>1093</v>
      </c>
      <c r="V21" s="131"/>
      <c r="W21" s="132">
        <v>45968</v>
      </c>
      <c r="X21" s="133">
        <v>46332</v>
      </c>
      <c r="Y21" s="75">
        <v>7204354818</v>
      </c>
      <c r="Z21" s="74" t="s">
        <v>1110</v>
      </c>
      <c r="AA21" s="73">
        <v>45735</v>
      </c>
      <c r="AB21" s="72">
        <v>46099</v>
      </c>
    </row>
    <row r="22" spans="1:28" s="52" customFormat="1" ht="25.5" x14ac:dyDescent="0.25">
      <c r="A22" s="71">
        <v>13</v>
      </c>
      <c r="B22" s="55"/>
      <c r="C22" s="70" t="s">
        <v>1109</v>
      </c>
      <c r="D22" s="55" t="s">
        <v>1108</v>
      </c>
      <c r="E22" s="55"/>
      <c r="F22" s="55"/>
      <c r="G22" s="55"/>
      <c r="H22" s="55"/>
      <c r="I22" s="55"/>
      <c r="J22" s="55" t="s">
        <v>1107</v>
      </c>
      <c r="K22" s="55" t="s">
        <v>1106</v>
      </c>
      <c r="L22" s="55">
        <v>49</v>
      </c>
      <c r="M22" s="69"/>
      <c r="N22" s="69">
        <v>2007</v>
      </c>
      <c r="O22" s="67"/>
      <c r="P22" s="67"/>
      <c r="Q22" s="55"/>
      <c r="R22" s="55"/>
      <c r="S22" s="55"/>
      <c r="T22" s="55"/>
      <c r="U22" s="55"/>
      <c r="V22" s="55"/>
      <c r="W22" s="55"/>
      <c r="X22" s="69"/>
      <c r="Y22" s="56"/>
      <c r="Z22" s="55"/>
      <c r="AA22" s="68"/>
      <c r="AB22" s="67"/>
    </row>
    <row r="23" spans="1:28" s="52" customFormat="1" ht="24.75" customHeight="1" thickBot="1" x14ac:dyDescent="0.3">
      <c r="A23" s="66">
        <v>14</v>
      </c>
      <c r="B23" s="65" t="s">
        <v>1105</v>
      </c>
      <c r="C23" s="61" t="s">
        <v>1104</v>
      </c>
      <c r="D23" s="61" t="s">
        <v>1103</v>
      </c>
      <c r="E23" s="61" t="s">
        <v>1102</v>
      </c>
      <c r="F23" s="61" t="s">
        <v>1101</v>
      </c>
      <c r="G23" s="61" t="s">
        <v>1100</v>
      </c>
      <c r="H23" s="61" t="s">
        <v>1099</v>
      </c>
      <c r="I23" s="61"/>
      <c r="J23" s="61" t="s">
        <v>1098</v>
      </c>
      <c r="K23" s="61" t="s">
        <v>1097</v>
      </c>
      <c r="L23" s="61">
        <v>2800</v>
      </c>
      <c r="M23" s="64" t="s">
        <v>1096</v>
      </c>
      <c r="N23" s="63">
        <v>2000</v>
      </c>
      <c r="O23" s="60" t="s">
        <v>1095</v>
      </c>
      <c r="P23" s="62">
        <v>45898</v>
      </c>
      <c r="Q23" s="62">
        <v>45974</v>
      </c>
      <c r="R23" s="61" t="s">
        <v>1094</v>
      </c>
      <c r="S23" s="60"/>
      <c r="T23" s="60"/>
      <c r="U23" s="59" t="s">
        <v>1093</v>
      </c>
      <c r="V23" s="59" t="s">
        <v>1092</v>
      </c>
      <c r="W23" s="58">
        <v>45952</v>
      </c>
      <c r="X23" s="57">
        <v>46316</v>
      </c>
      <c r="Y23" s="56">
        <v>5201555775</v>
      </c>
      <c r="Z23" s="55" t="s">
        <v>1091</v>
      </c>
      <c r="AA23" s="54">
        <v>45953</v>
      </c>
      <c r="AB23" s="53">
        <v>45962</v>
      </c>
    </row>
    <row r="24" spans="1:28" s="52" customFormat="1" ht="45" customHeight="1" thickBot="1" x14ac:dyDescent="0.3">
      <c r="A24" s="66">
        <v>15</v>
      </c>
      <c r="B24" s="103" t="s">
        <v>1257</v>
      </c>
      <c r="C24" s="84" t="s">
        <v>1193</v>
      </c>
      <c r="D24" s="103" t="s">
        <v>1254</v>
      </c>
      <c r="E24" s="103" t="s">
        <v>1102</v>
      </c>
      <c r="F24" s="103"/>
      <c r="G24" s="103"/>
      <c r="H24" s="103"/>
      <c r="I24" s="103"/>
      <c r="J24" s="103" t="s">
        <v>1255</v>
      </c>
      <c r="K24" s="103" t="s">
        <v>1256</v>
      </c>
      <c r="L24" s="103">
        <v>1461</v>
      </c>
      <c r="M24" s="104" t="s">
        <v>1121</v>
      </c>
      <c r="N24" s="104"/>
      <c r="O24" s="138"/>
      <c r="P24" s="139">
        <v>45723</v>
      </c>
      <c r="Q24" s="102">
        <v>46119</v>
      </c>
      <c r="R24" s="103" t="s">
        <v>1094</v>
      </c>
      <c r="S24" s="103"/>
      <c r="T24" s="103"/>
      <c r="U24" s="103"/>
      <c r="V24" s="103"/>
      <c r="W24" s="102">
        <v>45844</v>
      </c>
      <c r="X24" s="101">
        <v>46208</v>
      </c>
      <c r="Y24" s="56"/>
      <c r="Z24" s="55"/>
      <c r="AA24" s="68"/>
      <c r="AB24" s="67"/>
    </row>
    <row r="25" spans="1:28" s="52" customFormat="1" ht="13.5" thickBot="1" x14ac:dyDescent="0.3">
      <c r="A25" s="66">
        <v>16</v>
      </c>
      <c r="B25" s="103" t="s">
        <v>1259</v>
      </c>
      <c r="C25" s="84" t="s">
        <v>1260</v>
      </c>
      <c r="D25" s="103" t="s">
        <v>1159</v>
      </c>
      <c r="E25" s="103" t="s">
        <v>1261</v>
      </c>
      <c r="F25" s="103"/>
      <c r="G25" s="103"/>
      <c r="H25" s="103"/>
      <c r="I25" s="103"/>
      <c r="J25" s="103" t="s">
        <v>1262</v>
      </c>
      <c r="K25" s="103" t="s">
        <v>1263</v>
      </c>
      <c r="L25" s="103">
        <v>1995</v>
      </c>
      <c r="M25" s="104" t="s">
        <v>1264</v>
      </c>
      <c r="N25" s="104">
        <v>2011</v>
      </c>
      <c r="O25" s="138"/>
      <c r="P25" s="139"/>
      <c r="Q25" s="139">
        <v>46178</v>
      </c>
      <c r="R25" s="103" t="s">
        <v>1119</v>
      </c>
      <c r="S25" s="103"/>
      <c r="T25" s="103"/>
      <c r="U25" s="103"/>
      <c r="V25" s="103"/>
      <c r="W25" s="102">
        <v>46039</v>
      </c>
      <c r="X25" s="101">
        <v>46038</v>
      </c>
      <c r="Y25" s="56"/>
      <c r="Z25" s="55"/>
      <c r="AA25" s="68"/>
      <c r="AB25" s="67"/>
    </row>
    <row r="26" spans="1:28" s="52" customFormat="1" ht="26.25" thickBot="1" x14ac:dyDescent="0.3">
      <c r="A26" s="66">
        <v>17</v>
      </c>
      <c r="B26" s="103" t="s">
        <v>1287</v>
      </c>
      <c r="C26" s="84" t="s">
        <v>1288</v>
      </c>
      <c r="D26" s="103" t="s">
        <v>1289</v>
      </c>
      <c r="E26" s="103" t="s">
        <v>1124</v>
      </c>
      <c r="F26" s="103"/>
      <c r="G26" s="103"/>
      <c r="H26" s="103"/>
      <c r="I26" s="103"/>
      <c r="J26" s="103" t="s">
        <v>1290</v>
      </c>
      <c r="K26" s="103" t="s">
        <v>1291</v>
      </c>
      <c r="L26" s="103"/>
      <c r="M26" s="104"/>
      <c r="N26" s="104"/>
      <c r="O26" s="138"/>
      <c r="P26" s="139"/>
      <c r="Q26" s="139"/>
      <c r="R26" s="103"/>
      <c r="S26" s="103"/>
      <c r="T26" s="103"/>
      <c r="U26" s="103"/>
      <c r="V26" s="103"/>
      <c r="W26" s="102"/>
      <c r="X26" s="101"/>
      <c r="Y26" s="56"/>
      <c r="Z26" s="55"/>
      <c r="AA26" s="68"/>
      <c r="AB26" s="67"/>
    </row>
    <row r="27" spans="1:28" s="52" customFormat="1" ht="24.75" customHeight="1" thickBot="1" x14ac:dyDescent="0.3">
      <c r="A27" s="66">
        <v>18</v>
      </c>
      <c r="B27" s="65" t="s">
        <v>1265</v>
      </c>
      <c r="C27" s="61" t="s">
        <v>1266</v>
      </c>
      <c r="D27" s="61" t="s">
        <v>1108</v>
      </c>
      <c r="E27" s="61" t="s">
        <v>1124</v>
      </c>
      <c r="F27" s="61"/>
      <c r="G27" s="61"/>
      <c r="H27" s="61"/>
      <c r="I27" s="61"/>
      <c r="J27" s="61" t="s">
        <v>1267</v>
      </c>
      <c r="K27" s="61" t="s">
        <v>1268</v>
      </c>
      <c r="L27" s="61">
        <v>2488</v>
      </c>
      <c r="M27" s="64"/>
      <c r="N27" s="63">
        <v>2005</v>
      </c>
      <c r="O27" s="60"/>
      <c r="P27" s="62"/>
      <c r="Q27" s="62"/>
      <c r="R27" s="61"/>
      <c r="S27" s="60"/>
      <c r="T27" s="60"/>
      <c r="U27" s="59"/>
      <c r="V27" s="59"/>
      <c r="W27" s="58"/>
      <c r="X27" s="57"/>
      <c r="Y27" s="56"/>
      <c r="Z27" s="55"/>
      <c r="AA27" s="54"/>
      <c r="AB27" s="53"/>
    </row>
    <row r="28" spans="1:28" s="51" customFormat="1" ht="12.75" x14ac:dyDescent="0.2"/>
    <row r="29" spans="1:28" s="51" customFormat="1" ht="12.75" x14ac:dyDescent="0.2"/>
    <row r="30" spans="1:28" s="51" customFormat="1" ht="12.75" x14ac:dyDescent="0.2"/>
    <row r="31" spans="1:28" s="51" customFormat="1" ht="12.75" x14ac:dyDescent="0.2"/>
  </sheetData>
  <mergeCells count="86">
    <mergeCell ref="U11:U12"/>
    <mergeCell ref="V11:V12"/>
    <mergeCell ref="W11:W12"/>
    <mergeCell ref="X11:X12"/>
    <mergeCell ref="Y11:Y12"/>
    <mergeCell ref="U5:X5"/>
    <mergeCell ref="F5:I5"/>
    <mergeCell ref="U9:U10"/>
    <mergeCell ref="V9:V10"/>
    <mergeCell ref="W9:W10"/>
    <mergeCell ref="X9:X10"/>
    <mergeCell ref="L9:L10"/>
    <mergeCell ref="F9:F10"/>
    <mergeCell ref="G9:G10"/>
    <mergeCell ref="H9:H10"/>
    <mergeCell ref="W6:X6"/>
    <mergeCell ref="Q5:T5"/>
    <mergeCell ref="O9:O10"/>
    <mergeCell ref="P9:P10"/>
    <mergeCell ref="Q9:Q10"/>
    <mergeCell ref="R9:R10"/>
    <mergeCell ref="I9:I10"/>
    <mergeCell ref="J9:J10"/>
    <mergeCell ref="K9:K10"/>
    <mergeCell ref="S9:S10"/>
    <mergeCell ref="T9:T10"/>
    <mergeCell ref="M9:M10"/>
    <mergeCell ref="N9:N10"/>
    <mergeCell ref="C5:E5"/>
    <mergeCell ref="J5:M5"/>
    <mergeCell ref="N5:P5"/>
    <mergeCell ref="A2:G2"/>
    <mergeCell ref="A3:G3"/>
    <mergeCell ref="A5:A6"/>
    <mergeCell ref="B5:B6"/>
    <mergeCell ref="B9:B10"/>
    <mergeCell ref="A9:A10"/>
    <mergeCell ref="C9:C10"/>
    <mergeCell ref="D9:D10"/>
    <mergeCell ref="E9:E10"/>
    <mergeCell ref="J11:J12"/>
    <mergeCell ref="K11:K12"/>
    <mergeCell ref="L11:L12"/>
    <mergeCell ref="Q18:Q19"/>
    <mergeCell ref="R18:R19"/>
    <mergeCell ref="J18:J19"/>
    <mergeCell ref="K18:K19"/>
    <mergeCell ref="L18:L19"/>
    <mergeCell ref="F11:F12"/>
    <mergeCell ref="G11:G12"/>
    <mergeCell ref="H11:H12"/>
    <mergeCell ref="I11:I12"/>
    <mergeCell ref="A18:A19"/>
    <mergeCell ref="I18:I19"/>
    <mergeCell ref="C18:C19"/>
    <mergeCell ref="D18:D19"/>
    <mergeCell ref="E18:E19"/>
    <mergeCell ref="A11:A12"/>
    <mergeCell ref="B11:B12"/>
    <mergeCell ref="C11:C12"/>
    <mergeCell ref="D11:D12"/>
    <mergeCell ref="E11:E12"/>
    <mergeCell ref="Z11:Z12"/>
    <mergeCell ref="AA11:AA12"/>
    <mergeCell ref="AB11:AB12"/>
    <mergeCell ref="Y5:AB5"/>
    <mergeCell ref="Z9:Z10"/>
    <mergeCell ref="AA9:AA10"/>
    <mergeCell ref="AB9:AB10"/>
    <mergeCell ref="Y9:Y10"/>
    <mergeCell ref="S2:Y2"/>
    <mergeCell ref="S3:Y3"/>
    <mergeCell ref="J2:Q2"/>
    <mergeCell ref="J3:Q3"/>
    <mergeCell ref="S18:S19"/>
    <mergeCell ref="T18:T19"/>
    <mergeCell ref="R11:R12"/>
    <mergeCell ref="S11:S12"/>
    <mergeCell ref="T11:T12"/>
    <mergeCell ref="M18:M19"/>
    <mergeCell ref="P11:P12"/>
    <mergeCell ref="Q11:Q12"/>
    <mergeCell ref="M11:M12"/>
    <mergeCell ref="N11:N12"/>
    <mergeCell ref="O11:O12"/>
    <mergeCell ref="N18:N19"/>
  </mergeCells>
  <pageMargins left="0.25" right="0.25"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Tabel Pivot</vt:lpstr>
      <vt:lpstr>Instructiuni de utilizare</vt:lpstr>
      <vt:lpstr>Scule</vt:lpstr>
      <vt:lpstr>Auto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 Lospa</dc:creator>
  <cp:lastModifiedBy>gontariu bogdan</cp:lastModifiedBy>
  <cp:lastPrinted>2024-12-13T10:41:23Z</cp:lastPrinted>
  <dcterms:created xsi:type="dcterms:W3CDTF">2023-01-29T15:52:28Z</dcterms:created>
  <dcterms:modified xsi:type="dcterms:W3CDTF">2026-02-17T13:51:14Z</dcterms:modified>
</cp:coreProperties>
</file>